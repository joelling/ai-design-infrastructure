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UIDELINES" sheetId="1" state="visible" r:id="rId1"/>
    <sheet name="ESTIMATION SUMMARY" sheetId="2" state="visible" r:id="rId2"/>
    <sheet name="User Stories" sheetId="3" state="visible" r:id="rId3"/>
    <sheet name="Notification Mapping" sheetId="4" state="visible" r:id="rId4"/>
    <sheet name="RBAC" sheetId="5" state="visible" r:id="rId5"/>
    <sheet name="Data Fields" sheetId="6" state="visible" r:id="rId6"/>
    <sheet name="LOV" sheetId="7" state="visible" r:id="rId7"/>
    <sheet name="Design(T-Shirt Sizing)" sheetId="8" state="visible" r:id="rId8"/>
    <sheet name="FE(T-Shirt Sizing)" sheetId="9" state="visible" r:id="rId9"/>
    <sheet name="BE(T-Shirt Sizing)" sheetId="10" state="visible" r:id="rId10"/>
    <sheet name="AI(T-Shirt Sizing)" sheetId="11" state="visible" r:id="rId11"/>
    <sheet name="Design(Complexity Guide)" sheetId="12" state="visible" r:id="rId12"/>
    <sheet name="FE(Complexity Guide)" sheetId="13" state="visible" r:id="rId13"/>
    <sheet name="BE(Complexity Guide)" sheetId="14" state="visible" r:id="rId14"/>
    <sheet name="AI(Complexity Guide)" sheetId="15" state="visible" r:id="rId15"/>
  </sheets>
  <definedNames>
    <definedName name="_xlnm._FilterDatabase" localSheetId="2" hidden="1">'User Stories'!$A$3:$V$3</definedName>
    <definedName name="_xlnm._FilterDatabase" localSheetId="3" hidden="1">'Notification Mapping'!$A$2:$J$2</definedName>
    <definedName name="_xlnm._FilterDatabase" localSheetId="4" hidden="1">'RBAC'!$A$3:$H$3</definedName>
    <definedName name="_xlnm._FilterDatabase" localSheetId="5" hidden="1">'Data Fields'!$A$2:$K$2</definedName>
    <definedName name="_xlnm._FilterDatabase" localSheetId="6" hidden="1">'LOV'!$A$3:$G$3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color rgb="FF1F3864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9"/>
    </font>
    <font>
      <name val="Calibri"/>
      <charset val="1"/>
      <family val="0"/>
      <b val="1"/>
      <color rgb="FF1F3864"/>
      <sz val="10"/>
    </font>
    <font>
      <name val="Calibri"/>
      <charset val="1"/>
      <family val="0"/>
      <i val="1"/>
      <color rgb="FF808080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1F3864"/>
      <sz val="10"/>
    </font>
    <font>
      <name val="Calibri"/>
      <charset val="1"/>
      <family val="0"/>
      <i val="1"/>
      <color rgb="FFFF0000"/>
      <sz val="9"/>
    </font>
    <font>
      <name val="Calibri"/>
      <charset val="1"/>
      <family val="0"/>
      <color rgb="FF1F3864"/>
      <sz val="9"/>
    </font>
    <font>
      <name val="Cambria"/>
      <charset val="1"/>
      <family val="0"/>
      <sz val="11"/>
    </font>
    <font>
      <name val="Calibri"/>
      <charset val="1"/>
      <family val="0"/>
      <i val="1"/>
      <color rgb="FF595959"/>
      <sz val="9"/>
    </font>
  </fonts>
  <fills count="1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AE3F3"/>
        <bgColor rgb="FFDDEEFF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DDEEFF"/>
        <bgColor rgb="FFDAE3F3"/>
      </patternFill>
    </fill>
    <fill>
      <patternFill patternType="solid">
        <fgColor rgb="FFFFF0CC"/>
        <bgColor rgb="FFFCE4D6"/>
      </patternFill>
    </fill>
    <fill>
      <patternFill patternType="solid">
        <fgColor rgb="FFFCE4D6"/>
        <bgColor rgb="FFFFF0CC"/>
      </patternFill>
    </fill>
    <fill>
      <patternFill patternType="solid">
        <fgColor rgb="FFF5F5F5"/>
        <bgColor rgb="FFF2F2F2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5F5F5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center" vertical="center" wrapText="1"/>
    </xf>
    <xf numFmtId="164" fontId="8" fillId="5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9" fontId="0" fillId="6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general" vertical="bottom"/>
    </xf>
    <xf numFmtId="164" fontId="8" fillId="5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  <xf numFmtId="164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left" vertical="top" wrapText="1"/>
    </xf>
    <xf numFmtId="164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left" vertical="top" wrapText="1"/>
    </xf>
    <xf numFmtId="164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left" vertical="top" wrapText="1"/>
    </xf>
    <xf numFmtId="164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left" vertical="top" wrapText="1"/>
    </xf>
    <xf numFmtId="0" fontId="0" fillId="13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bottom"/>
    </xf>
    <xf numFmtId="0" fontId="11" fillId="1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 wrapText="1"/>
    </xf>
    <xf numFmtId="164" fontId="5" fillId="4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0" fontId="7" fillId="13" borderId="0" applyAlignment="1" pivotButton="0" quotePrefix="0" xfId="0">
      <alignment horizontal="left" vertical="top" wrapText="1"/>
    </xf>
    <xf numFmtId="0" fontId="13" fillId="13" borderId="0" applyAlignment="1" pivotButton="0" quotePrefix="0" xfId="0">
      <alignment horizontal="left" vertical="top" wrapText="1"/>
    </xf>
    <xf numFmtId="0" fontId="7" fillId="12" borderId="0" applyAlignment="1" pivotButton="0" quotePrefix="0" xfId="0">
      <alignment horizontal="left" vertical="top" wrapText="1"/>
    </xf>
    <xf numFmtId="0" fontId="13" fillId="12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center" vertical="center" wrapText="1"/>
    </xf>
    <xf numFmtId="164" fontId="8" fillId="5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9" fontId="0" fillId="6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general" vertical="bottom"/>
    </xf>
    <xf numFmtId="164" fontId="8" fillId="5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  <xf numFmtId="164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left" vertical="top" wrapText="1"/>
    </xf>
    <xf numFmtId="164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left" vertical="top" wrapText="1"/>
    </xf>
    <xf numFmtId="164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left" vertical="top" wrapText="1"/>
    </xf>
    <xf numFmtId="164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left" vertical="top" wrapText="1"/>
    </xf>
    <xf numFmtId="0" fontId="0" fillId="13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general" vertical="bottom"/>
    </xf>
    <xf numFmtId="0" fontId="0" fillId="12" borderId="0" applyAlignment="1" pivotButton="0" quotePrefix="0" xfId="0">
      <alignment horizontal="general" vertical="bottom"/>
    </xf>
    <xf numFmtId="0" fontId="11" fillId="1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 wrapText="1"/>
    </xf>
    <xf numFmtId="164" fontId="5" fillId="4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0" fontId="7" fillId="13" borderId="0" applyAlignment="1" pivotButton="0" quotePrefix="0" xfId="0">
      <alignment horizontal="left" vertical="top" wrapText="1"/>
    </xf>
    <xf numFmtId="0" fontId="13" fillId="13" borderId="0" applyAlignment="1" pivotButton="0" quotePrefix="0" xfId="0">
      <alignment horizontal="left" vertical="top" wrapText="1"/>
    </xf>
    <xf numFmtId="0" fontId="7" fillId="12" borderId="0" applyAlignment="1" pivotButton="0" quotePrefix="0" xfId="0">
      <alignment horizontal="left" vertical="top" wrapText="1"/>
    </xf>
    <xf numFmtId="0" fontId="13" fillId="12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DAE3F3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DDEEFF"/>
          <bgColor rgb="FF000000"/>
        </patternFill>
      </fill>
    </dxf>
    <dxf>
      <fill>
        <patternFill patternType="solid">
          <fgColor rgb="FFFFF0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5F5F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CC"/>
      <rgbColor rgb="FFDDEE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5F5F5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53" min="2" max="2"/>
  </cols>
  <sheetData>
    <row r="1" ht="30" customHeight="1" s="54">
      <c r="A1" s="55" t="inlineStr">
        <is>
          <t>BRD + ESTIMATION TEMPLATE — GUIDELINES</t>
        </is>
      </c>
    </row>
    <row r="3" ht="19.5" customHeight="1" s="54">
      <c r="B3" s="56" t="inlineStr">
        <is>
          <t>• This template combines business requirements documentation (BRD) and effort estimation into a single working file.</t>
        </is>
      </c>
    </row>
    <row r="4" ht="19.5" customHeight="1" s="54">
      <c r="B4" s="56" t="inlineStr">
        <is>
          <t>• Start with the "User Stories" sheet — enter epics, features, user stories, and acceptance criteria.</t>
        </is>
      </c>
    </row>
    <row r="5" ht="19.5" customHeight="1" s="54">
      <c r="B5" s="56" t="inlineStr">
        <is>
          <t>• Use the "Epic" (col B) and "Feature / Touchpoint" (col C) dropdowns/filters to navigate or filter stories.</t>
        </is>
      </c>
    </row>
    <row r="6" ht="19.5" customHeight="1" s="54">
      <c r="B6" s="56" t="inlineStr">
        <is>
          <t>• Assign a t-shirt size for each track (Design, FE, BE, AI/Data) using the dropdowns in columns I, K, M, O.</t>
        </is>
      </c>
    </row>
    <row r="7" ht="19.5" customHeight="1" s="54">
      <c r="B7" s="56" t="inlineStr">
        <is>
          <t>• Man-days auto-calculate from each track's sizing table (sheets 8–11).</t>
        </is>
      </c>
    </row>
    <row r="8" ht="19.5" customHeight="1" s="54">
      <c r="B8" s="56" t="inlineStr">
        <is>
          <t>• View aggregated effort in the "ESTIMATION SUMMARY" sheet — counts and man-days update automatically.</t>
        </is>
      </c>
    </row>
    <row r="9" ht="19.5" customHeight="1" s="54">
      <c r="B9" s="56" t="inlineStr">
        <is>
          <t>• Adjust the Optimistic (−10%) and Pessimistic (+20%) factors on the Estimation Summary to model ranges.</t>
        </is>
      </c>
    </row>
    <row r="10" ht="19.5" customHeight="1" s="54">
      <c r="B10" s="56" t="inlineStr">
        <is>
          <t>• Use the "Complexity Guide" sheets (12–15) to decide which t-shirt size to assign before entering estimates.</t>
        </is>
      </c>
    </row>
    <row r="11" ht="19.5" customHeight="1" s="54">
      <c r="B11" s="56" t="inlineStr">
        <is>
          <t>• Blank templates: Notification Mapping, RBAC, Data Fields, and LOV — fill these in as requirements are defined.</t>
        </is>
      </c>
    </row>
    <row r="12" ht="19.5" customHeight="1" s="54">
      <c r="B12" s="56" t="inlineStr">
        <is>
          <t>• Never edit the T-Shirt Sizing tables (sheets 8–11) unless the team agrees to change the man-day rates.</t>
        </is>
      </c>
    </row>
  </sheetData>
  <mergeCells count="1">
    <mergeCell ref="A1:T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" customWidth="1" style="53" min="1" max="1"/>
    <col width="26" customWidth="1" style="53" min="2" max="2"/>
    <col width="14" customWidth="1" style="53" min="3" max="3"/>
    <col width="10" customWidth="1" style="53" min="4" max="4"/>
    <col width="14" customWidth="1" style="53" min="5" max="6"/>
    <col width="10" customWidth="1" style="53" min="7" max="7"/>
    <col width="14" customWidth="1" style="53" min="8" max="9"/>
    <col width="10" customWidth="1" style="53" min="10" max="10"/>
    <col width="14" customWidth="1" style="53" min="11" max="12"/>
    <col width="10" customWidth="1" style="53" min="13" max="13"/>
    <col width="14" customWidth="1" style="53" min="14" max="14"/>
    <col width="4" customWidth="1" style="53" min="15" max="15"/>
    <col width="16" customWidth="1" style="53" min="16" max="16"/>
  </cols>
  <sheetData>
    <row r="1" ht="30" customHeight="1" s="54">
      <c r="A1" s="55" t="inlineStr">
        <is>
          <t>ESTIMATION SUMMARY</t>
        </is>
      </c>
    </row>
    <row r="2" ht="9.75" customHeight="1" s="54"/>
    <row r="3" ht="19.5" customHeight="1" s="54">
      <c r="C3" s="57" t="inlineStr">
        <is>
          <t>UX DESIGN</t>
        </is>
      </c>
      <c r="F3" s="57" t="inlineStr">
        <is>
          <t>FRONTEND (FE)</t>
        </is>
      </c>
      <c r="I3" s="57" t="inlineStr">
        <is>
          <t>BACKEND (BE)</t>
        </is>
      </c>
      <c r="L3" s="57" t="inlineStr">
        <is>
          <t>AI / DATA</t>
        </is>
      </c>
    </row>
    <row r="4" ht="19.5" customHeight="1" s="54">
      <c r="B4" s="58" t="inlineStr">
        <is>
          <t>SIZE BUCKET</t>
        </is>
      </c>
      <c r="C4" s="58" t="inlineStr">
        <is>
          <t>NO.</t>
        </is>
      </c>
      <c r="D4" s="58" t="inlineStr">
        <is>
          <t>SIZE</t>
        </is>
      </c>
      <c r="E4" s="58" t="inlineStr">
        <is>
          <t>MD</t>
        </is>
      </c>
      <c r="F4" s="58" t="inlineStr">
        <is>
          <t>NO.</t>
        </is>
      </c>
      <c r="G4" s="58" t="inlineStr">
        <is>
          <t>SIZE</t>
        </is>
      </c>
      <c r="H4" s="58" t="inlineStr">
        <is>
          <t>MD</t>
        </is>
      </c>
      <c r="I4" s="58" t="inlineStr">
        <is>
          <t>NO.</t>
        </is>
      </c>
      <c r="J4" s="58" t="inlineStr">
        <is>
          <t>SIZE</t>
        </is>
      </c>
      <c r="K4" s="58" t="inlineStr">
        <is>
          <t>MD</t>
        </is>
      </c>
      <c r="L4" s="58" t="inlineStr">
        <is>
          <t>NO.</t>
        </is>
      </c>
      <c r="M4" s="58" t="inlineStr">
        <is>
          <t>SIZE</t>
        </is>
      </c>
      <c r="N4" s="58" t="inlineStr">
        <is>
          <t>MD</t>
        </is>
      </c>
    </row>
    <row r="5" ht="18" customHeight="1" s="54">
      <c r="B5" s="59" t="inlineStr">
        <is>
          <t>2XL</t>
        </is>
      </c>
      <c r="C5" s="53">
        <f>COUNTIF('User Stories'!$I$4:$I$1003,D5)</f>
        <v/>
      </c>
      <c r="D5" s="60" t="inlineStr">
        <is>
          <t>2XL</t>
        </is>
      </c>
      <c r="E5" s="61">
        <f>C5*IFERROR(VLOOKUP(D5,'Design(T-Shirt Sizing)'!$A$3:$B$9,2,FALSE()),0)</f>
        <v/>
      </c>
      <c r="F5" s="53">
        <f>COUNTIF('User Stories'!$K$4:$K$1003,G5)</f>
        <v/>
      </c>
      <c r="G5" s="60" t="inlineStr">
        <is>
          <t>2XL</t>
        </is>
      </c>
      <c r="H5" s="61">
        <f>F5*IFERROR(VLOOKUP(G5,'FE(T-Shirt Sizing)'!$A$3:$B$9,2,FALSE()),0)</f>
        <v/>
      </c>
      <c r="I5" s="53">
        <f>COUNTIF('User Stories'!$M$4:$M$1003,J5)</f>
        <v/>
      </c>
      <c r="J5" s="60" t="inlineStr">
        <is>
          <t>2XL</t>
        </is>
      </c>
      <c r="K5" s="61">
        <f>I5*IFERROR(VLOOKUP(J5,'BE(T-Shirt Sizing)'!$A$3:$B$9,2,FALSE()),0)</f>
        <v/>
      </c>
      <c r="L5" s="53">
        <f>COUNTIF('User Stories'!$O$4:$O$1003,M5)</f>
        <v/>
      </c>
      <c r="M5" s="60" t="inlineStr">
        <is>
          <t>2XL</t>
        </is>
      </c>
      <c r="N5" s="61">
        <f>L5*IFERROR(VLOOKUP(M5,'AI(T-Shirt Sizing)'!$A$3:$B$9,2,FALSE()),0)</f>
        <v/>
      </c>
    </row>
    <row r="6" ht="18" customHeight="1" s="54">
      <c r="B6" s="59" t="inlineStr">
        <is>
          <t>XL</t>
        </is>
      </c>
      <c r="C6" s="53">
        <f>COUNTIF('User Stories'!$I$4:$I$1003,D6)</f>
        <v/>
      </c>
      <c r="D6" s="60" t="inlineStr">
        <is>
          <t>XL</t>
        </is>
      </c>
      <c r="E6" s="61">
        <f>C6*IFERROR(VLOOKUP(D6,'Design(T-Shirt Sizing)'!$A$3:$B$9,2,FALSE()),0)</f>
        <v/>
      </c>
      <c r="F6" s="53">
        <f>COUNTIF('User Stories'!$K$4:$K$1003,G6)</f>
        <v/>
      </c>
      <c r="G6" s="60" t="inlineStr">
        <is>
          <t>XL</t>
        </is>
      </c>
      <c r="H6" s="61">
        <f>F6*IFERROR(VLOOKUP(G6,'FE(T-Shirt Sizing)'!$A$3:$B$9,2,FALSE()),0)</f>
        <v/>
      </c>
      <c r="I6" s="53">
        <f>COUNTIF('User Stories'!$M$4:$M$1003,J6)</f>
        <v/>
      </c>
      <c r="J6" s="60" t="inlineStr">
        <is>
          <t>XL</t>
        </is>
      </c>
      <c r="K6" s="61">
        <f>I6*IFERROR(VLOOKUP(J6,'BE(T-Shirt Sizing)'!$A$3:$B$9,2,FALSE()),0)</f>
        <v/>
      </c>
      <c r="L6" s="53">
        <f>COUNTIF('User Stories'!$O$4:$O$1003,M6)</f>
        <v/>
      </c>
      <c r="M6" s="60" t="inlineStr">
        <is>
          <t>XL</t>
        </is>
      </c>
      <c r="N6" s="61">
        <f>L6*IFERROR(VLOOKUP(M6,'AI(T-Shirt Sizing)'!$A$3:$B$9,2,FALSE()),0)</f>
        <v/>
      </c>
    </row>
    <row r="7" ht="18" customHeight="1" s="54">
      <c r="B7" s="59" t="inlineStr">
        <is>
          <t>L</t>
        </is>
      </c>
      <c r="C7" s="53">
        <f>COUNTIF('User Stories'!$I$4:$I$1003,D7)</f>
        <v/>
      </c>
      <c r="D7" s="60" t="inlineStr">
        <is>
          <t>L</t>
        </is>
      </c>
      <c r="E7" s="61">
        <f>C7*IFERROR(VLOOKUP(D7,'Design(T-Shirt Sizing)'!$A$3:$B$9,2,FALSE()),0)</f>
        <v/>
      </c>
      <c r="F7" s="53">
        <f>COUNTIF('User Stories'!$K$4:$K$1003,G7)</f>
        <v/>
      </c>
      <c r="G7" s="60" t="inlineStr">
        <is>
          <t>L</t>
        </is>
      </c>
      <c r="H7" s="61">
        <f>F7*IFERROR(VLOOKUP(G7,'FE(T-Shirt Sizing)'!$A$3:$B$9,2,FALSE()),0)</f>
        <v/>
      </c>
      <c r="I7" s="53">
        <f>COUNTIF('User Stories'!$M$4:$M$1003,J7)</f>
        <v/>
      </c>
      <c r="J7" s="60" t="inlineStr">
        <is>
          <t>L</t>
        </is>
      </c>
      <c r="K7" s="61">
        <f>I7*IFERROR(VLOOKUP(J7,'BE(T-Shirt Sizing)'!$A$3:$B$9,2,FALSE()),0)</f>
        <v/>
      </c>
      <c r="L7" s="53">
        <f>COUNTIF('User Stories'!$O$4:$O$1003,M7)</f>
        <v/>
      </c>
      <c r="M7" s="60" t="inlineStr">
        <is>
          <t>L</t>
        </is>
      </c>
      <c r="N7" s="61">
        <f>L7*IFERROR(VLOOKUP(M7,'AI(T-Shirt Sizing)'!$A$3:$B$9,2,FALSE()),0)</f>
        <v/>
      </c>
    </row>
    <row r="8" ht="18" customHeight="1" s="54">
      <c r="B8" s="59" t="inlineStr">
        <is>
          <t>M</t>
        </is>
      </c>
      <c r="C8" s="53">
        <f>COUNTIF('User Stories'!$I$4:$I$1003,D8)</f>
        <v/>
      </c>
      <c r="D8" s="60" t="inlineStr">
        <is>
          <t>M</t>
        </is>
      </c>
      <c r="E8" s="61">
        <f>C8*IFERROR(VLOOKUP(D8,'Design(T-Shirt Sizing)'!$A$3:$B$9,2,FALSE()),0)</f>
        <v/>
      </c>
      <c r="F8" s="53">
        <f>COUNTIF('User Stories'!$K$4:$K$1003,G8)</f>
        <v/>
      </c>
      <c r="G8" s="60" t="inlineStr">
        <is>
          <t>M</t>
        </is>
      </c>
      <c r="H8" s="61">
        <f>F8*IFERROR(VLOOKUP(G8,'FE(T-Shirt Sizing)'!$A$3:$B$9,2,FALSE()),0)</f>
        <v/>
      </c>
      <c r="I8" s="53">
        <f>COUNTIF('User Stories'!$M$4:$M$1003,J8)</f>
        <v/>
      </c>
      <c r="J8" s="60" t="inlineStr">
        <is>
          <t>M</t>
        </is>
      </c>
      <c r="K8" s="61">
        <f>I8*IFERROR(VLOOKUP(J8,'BE(T-Shirt Sizing)'!$A$3:$B$9,2,FALSE()),0)</f>
        <v/>
      </c>
      <c r="L8" s="53">
        <f>COUNTIF('User Stories'!$O$4:$O$1003,M8)</f>
        <v/>
      </c>
      <c r="M8" s="60" t="inlineStr">
        <is>
          <t>M</t>
        </is>
      </c>
      <c r="N8" s="61">
        <f>L8*IFERROR(VLOOKUP(M8,'AI(T-Shirt Sizing)'!$A$3:$B$9,2,FALSE()),0)</f>
        <v/>
      </c>
    </row>
    <row r="9" ht="18" customHeight="1" s="54">
      <c r="B9" s="59" t="inlineStr">
        <is>
          <t>S</t>
        </is>
      </c>
      <c r="C9" s="53">
        <f>COUNTIF('User Stories'!$I$4:$I$1003,D9)</f>
        <v/>
      </c>
      <c r="D9" s="60" t="inlineStr">
        <is>
          <t>S</t>
        </is>
      </c>
      <c r="E9" s="61">
        <f>C9*IFERROR(VLOOKUP(D9,'Design(T-Shirt Sizing)'!$A$3:$B$9,2,FALSE()),0)</f>
        <v/>
      </c>
      <c r="F9" s="53">
        <f>COUNTIF('User Stories'!$K$4:$K$1003,G9)</f>
        <v/>
      </c>
      <c r="G9" s="60" t="inlineStr">
        <is>
          <t>S</t>
        </is>
      </c>
      <c r="H9" s="61">
        <f>F9*IFERROR(VLOOKUP(G9,'FE(T-Shirt Sizing)'!$A$3:$B$9,2,FALSE()),0)</f>
        <v/>
      </c>
      <c r="I9" s="53">
        <f>COUNTIF('User Stories'!$M$4:$M$1003,J9)</f>
        <v/>
      </c>
      <c r="J9" s="60" t="inlineStr">
        <is>
          <t>S</t>
        </is>
      </c>
      <c r="K9" s="61">
        <f>I9*IFERROR(VLOOKUP(J9,'BE(T-Shirt Sizing)'!$A$3:$B$9,2,FALSE()),0)</f>
        <v/>
      </c>
      <c r="L9" s="53">
        <f>COUNTIF('User Stories'!$O$4:$O$1003,M9)</f>
        <v/>
      </c>
      <c r="M9" s="60" t="inlineStr">
        <is>
          <t>S</t>
        </is>
      </c>
      <c r="N9" s="61">
        <f>L9*IFERROR(VLOOKUP(M9,'AI(T-Shirt Sizing)'!$A$3:$B$9,2,FALSE()),0)</f>
        <v/>
      </c>
    </row>
    <row r="10" ht="18" customHeight="1" s="54">
      <c r="B10" s="59" t="inlineStr">
        <is>
          <t>XS</t>
        </is>
      </c>
      <c r="C10" s="53">
        <f>COUNTIF('User Stories'!$I$4:$I$1003,D10)</f>
        <v/>
      </c>
      <c r="D10" s="60" t="inlineStr">
        <is>
          <t>XS</t>
        </is>
      </c>
      <c r="E10" s="61">
        <f>C10*IFERROR(VLOOKUP(D10,'Design(T-Shirt Sizing)'!$A$3:$B$9,2,FALSE()),0)</f>
        <v/>
      </c>
      <c r="F10" s="53">
        <f>COUNTIF('User Stories'!$K$4:$K$1003,G10)</f>
        <v/>
      </c>
      <c r="G10" s="60" t="inlineStr">
        <is>
          <t>XS</t>
        </is>
      </c>
      <c r="H10" s="61">
        <f>F10*IFERROR(VLOOKUP(G10,'FE(T-Shirt Sizing)'!$A$3:$B$9,2,FALSE()),0)</f>
        <v/>
      </c>
      <c r="I10" s="53">
        <f>COUNTIF('User Stories'!$M$4:$M$1003,J10)</f>
        <v/>
      </c>
      <c r="J10" s="60" t="inlineStr">
        <is>
          <t>XS</t>
        </is>
      </c>
      <c r="K10" s="61">
        <f>I10*IFERROR(VLOOKUP(J10,'BE(T-Shirt Sizing)'!$A$3:$B$9,2,FALSE()),0)</f>
        <v/>
      </c>
      <c r="L10" s="53">
        <f>COUNTIF('User Stories'!$O$4:$O$1003,M10)</f>
        <v/>
      </c>
      <c r="M10" s="60" t="inlineStr">
        <is>
          <t>XS</t>
        </is>
      </c>
      <c r="N10" s="61">
        <f>L10*IFERROR(VLOOKUP(M10,'AI(T-Shirt Sizing)'!$A$3:$B$9,2,FALSE()),0)</f>
        <v/>
      </c>
    </row>
    <row r="11" ht="21.75" customHeight="1" s="54">
      <c r="A11" s="62" t="n"/>
      <c r="B11" s="63" t="inlineStr">
        <is>
          <t>TOTAL</t>
        </is>
      </c>
      <c r="C11" s="63">
        <f>SUM(C5:C10)</f>
        <v/>
      </c>
      <c r="D11" s="62" t="n"/>
      <c r="E11" s="64">
        <f>SUM(E5:E10)</f>
        <v/>
      </c>
      <c r="F11" s="63">
        <f>SUM(F5:F10)</f>
        <v/>
      </c>
      <c r="G11" s="62" t="n"/>
      <c r="H11" s="64">
        <f>SUM(H5:H10)</f>
        <v/>
      </c>
      <c r="I11" s="63">
        <f>SUM(I5:I10)</f>
        <v/>
      </c>
      <c r="J11" s="62" t="n"/>
      <c r="K11" s="64">
        <f>SUM(K5:K10)</f>
        <v/>
      </c>
      <c r="L11" s="63">
        <f>SUM(L5:L10)</f>
        <v/>
      </c>
      <c r="M11" s="62" t="n"/>
      <c r="N11" s="64">
        <f>SUM(N5:N10)</f>
        <v/>
      </c>
      <c r="O11" s="62" t="n"/>
      <c r="P11" s="62" t="n"/>
    </row>
    <row r="12" ht="9.75" customHeight="1" s="54"/>
    <row r="13" ht="19.5" customHeight="1" s="54">
      <c r="B13" s="65" t="inlineStr">
        <is>
          <t>MAN DAY ADJUSTMENT FACTOR</t>
        </is>
      </c>
      <c r="C13" s="66" t="n">
        <v>1</v>
      </c>
      <c r="D13" s="67" t="inlineStr">
        <is>
          <t>(Change this value to apply a team efficiency multiplier, default = 1)</t>
        </is>
      </c>
    </row>
    <row r="14" ht="9.75" customHeight="1" s="54"/>
    <row r="15" ht="19.5" customHeight="1" s="54">
      <c r="B15" s="58" t="inlineStr">
        <is>
          <t>EFFORT RANGE</t>
        </is>
      </c>
      <c r="C15" s="58" t="inlineStr">
        <is>
          <t>Design MD</t>
        </is>
      </c>
      <c r="F15" s="58" t="inlineStr">
        <is>
          <t>FE MD</t>
        </is>
      </c>
      <c r="I15" s="58" t="inlineStr">
        <is>
          <t>BE MD</t>
        </is>
      </c>
      <c r="L15" s="58" t="inlineStr">
        <is>
          <t>AI MD</t>
        </is>
      </c>
      <c r="P15" s="58" t="inlineStr">
        <is>
          <t>ADJUSTMENT %</t>
        </is>
      </c>
    </row>
    <row r="16" ht="18" customHeight="1" s="54">
      <c r="B16" s="68" t="inlineStr">
        <is>
          <t>Optimistic</t>
        </is>
      </c>
      <c r="C16" s="61">
        <f>C17*(1-$P16)</f>
        <v/>
      </c>
      <c r="F16" s="61">
        <f>F17*(1-$P16)</f>
        <v/>
      </c>
      <c r="I16" s="61">
        <f>I17*(1-$P16)</f>
        <v/>
      </c>
      <c r="L16" s="61">
        <f>L17*(1-$P16)</f>
        <v/>
      </c>
      <c r="P16" s="69" t="n">
        <v>0.1</v>
      </c>
    </row>
    <row r="17" ht="18" customHeight="1" s="54">
      <c r="B17" s="70" t="inlineStr">
        <is>
          <t>Most Likely</t>
        </is>
      </c>
      <c r="C17" s="61">
        <f>E11/C13</f>
        <v/>
      </c>
      <c r="F17" s="61">
        <f>H11/C13</f>
        <v/>
      </c>
      <c r="I17" s="61">
        <f>K11/C13</f>
        <v/>
      </c>
      <c r="L17" s="61">
        <f>N11/C13</f>
        <v/>
      </c>
    </row>
    <row r="18" ht="18" customHeight="1" s="54">
      <c r="B18" s="68" t="inlineStr">
        <is>
          <t>Pessimistic</t>
        </is>
      </c>
      <c r="C18" s="61">
        <f>C17*(1+$P18)</f>
        <v/>
      </c>
      <c r="F18" s="61">
        <f>F17*(1+$P18)</f>
        <v/>
      </c>
      <c r="I18" s="61">
        <f>I17*(1+$P18)</f>
        <v/>
      </c>
      <c r="L18" s="61">
        <f>L17*(1+$P18)</f>
        <v/>
      </c>
      <c r="P18" s="69" t="n">
        <v>0.2</v>
      </c>
    </row>
    <row r="19" ht="9.75" customHeight="1" s="54"/>
    <row r="20" ht="24" customHeight="1" s="54">
      <c r="B20" s="71" t="inlineStr">
        <is>
          <t>TOTAL OVERALL EFFORT ESTIMATION</t>
        </is>
      </c>
    </row>
    <row r="21" ht="9.75" customHeight="1" s="54"/>
    <row r="22" ht="19.5" customHeight="1" s="54">
      <c r="B22" s="70" t="inlineStr">
        <is>
          <t>Scenario</t>
        </is>
      </c>
      <c r="C22" s="66" t="inlineStr">
        <is>
          <t>Most Likely</t>
        </is>
      </c>
    </row>
    <row r="23" ht="19.5" customHeight="1" s="54">
      <c r="B23" s="58" t="inlineStr">
        <is>
          <t>Track</t>
        </is>
      </c>
      <c r="C23" s="58" t="inlineStr">
        <is>
          <t>Approx. Man-Days</t>
        </is>
      </c>
    </row>
    <row r="24" ht="18" customHeight="1" s="54">
      <c r="B24" s="68" t="inlineStr">
        <is>
          <t>UX Design</t>
        </is>
      </c>
      <c r="C24" s="61">
        <f>IFERROR(VLOOKUP(C22,B16:N18,2,FALSE()),0)</f>
        <v/>
      </c>
    </row>
    <row r="25" ht="18" customHeight="1" s="54">
      <c r="B25" s="68" t="inlineStr">
        <is>
          <t>Frontend (FE)</t>
        </is>
      </c>
      <c r="C25" s="61">
        <f>IFERROR(VLOOKUP(C22,B16:N18,5,FALSE()),0)</f>
        <v/>
      </c>
    </row>
    <row r="26" ht="18" customHeight="1" s="54">
      <c r="B26" s="68" t="inlineStr">
        <is>
          <t>Backend (BE)</t>
        </is>
      </c>
      <c r="C26" s="61">
        <f>IFERROR(VLOOKUP(C22,B16:N18,8,FALSE()),0)</f>
        <v/>
      </c>
    </row>
    <row r="27" ht="18" customHeight="1" s="54">
      <c r="B27" s="68" t="inlineStr">
        <is>
          <t>AI / Data</t>
        </is>
      </c>
      <c r="C27" s="61">
        <f>IFERROR(VLOOKUP(C22,B16:N18,11,FALSE()),0)</f>
        <v/>
      </c>
    </row>
    <row r="28" ht="21.75" customHeight="1" s="54">
      <c r="B28" s="72" t="inlineStr">
        <is>
          <t>TOTAL</t>
        </is>
      </c>
      <c r="C28" s="73">
        <f>SUM(C24:C27)</f>
        <v/>
      </c>
    </row>
  </sheetData>
  <mergeCells count="6">
    <mergeCell ref="A1:P1"/>
    <mergeCell ref="C3:E3"/>
    <mergeCell ref="I3:K3"/>
    <mergeCell ref="F3:H3"/>
    <mergeCell ref="L3:N3"/>
    <mergeCell ref="B20:N20"/>
  </mergeCells>
  <dataValidations count="1">
    <dataValidation sqref="C22" showDropDown="0" showInputMessage="0" showErrorMessage="1" allowBlank="0" type="list" errorStyle="stop" operator="between">
      <formula1>"Optimistic,Most Likely,Pessimistic"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8" ySplit="3" topLeftCell="I4" activePane="bottomRight" state="frozen"/>
      <selection pane="topLeft" activeCell="A1" activeCellId="0" sqref="A1"/>
      <selection pane="topRight" activeCell="I1" activeCellId="0" sqref="I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53" min="1" max="1"/>
    <col width="22" customWidth="1" style="53" min="2" max="3"/>
    <col width="14" customWidth="1" style="53" min="4" max="4"/>
    <col width="50" customWidth="1" style="53" min="5" max="6"/>
    <col width="12" customWidth="1" style="53" min="7" max="8"/>
    <col width="10" customWidth="1" style="53" min="9" max="16"/>
    <col width="28" customWidth="1" style="53" min="17" max="20"/>
    <col width="24" customWidth="1" style="53" min="21" max="21"/>
    <col width="20" customWidth="1" style="53" min="22" max="22"/>
  </cols>
  <sheetData>
    <row r="1" ht="30" customHeight="1" s="54">
      <c r="A1" s="55" t="inlineStr">
        <is>
          <t>USER STORIES</t>
        </is>
      </c>
    </row>
    <row r="2" ht="19.5" customHeight="1" s="54">
      <c r="A2" s="57" t="inlineStr">
        <is>
          <t>USER STORY DETAILS</t>
        </is>
      </c>
      <c r="I2" s="57" t="inlineStr">
        <is>
          <t>UX DESIGN</t>
        </is>
      </c>
      <c r="K2" s="57" t="inlineStr">
        <is>
          <t>FRONTEND (FE)</t>
        </is>
      </c>
      <c r="M2" s="57" t="inlineStr">
        <is>
          <t>BACKEND (BE)</t>
        </is>
      </c>
      <c r="O2" s="57" t="inlineStr">
        <is>
          <t>AI / DATA</t>
        </is>
      </c>
      <c r="Q2" s="57" t="inlineStr">
        <is>
          <t>ASSUMPTIONS &amp; ASSESSMENTS</t>
        </is>
      </c>
    </row>
    <row r="3" ht="19.5" customHeight="1" s="54">
      <c r="A3" s="58" t="inlineStr">
        <is>
          <t>ID</t>
        </is>
      </c>
      <c r="B3" s="58" t="inlineStr">
        <is>
          <t>EPIC</t>
        </is>
      </c>
      <c r="C3" s="58" t="inlineStr">
        <is>
          <t>FEATURE / TOUCHPOINT</t>
        </is>
      </c>
      <c r="D3" s="58" t="inlineStr">
        <is>
          <t>STORY ID</t>
        </is>
      </c>
      <c r="E3" s="58" t="inlineStr">
        <is>
          <t>USER STORY</t>
        </is>
      </c>
      <c r="F3" s="58" t="inlineStr">
        <is>
          <t>ACCEPTANCE CRITERIA</t>
        </is>
      </c>
      <c r="G3" s="58" t="inlineStr">
        <is>
          <t>PRIORITY</t>
        </is>
      </c>
      <c r="H3" s="58" t="inlineStr">
        <is>
          <t>RELEASE</t>
        </is>
      </c>
      <c r="I3" s="74" t="inlineStr">
        <is>
          <t>SIZE</t>
        </is>
      </c>
      <c r="J3" s="74" t="inlineStr">
        <is>
          <t>MD</t>
        </is>
      </c>
      <c r="K3" s="75" t="inlineStr">
        <is>
          <t>SIZE</t>
        </is>
      </c>
      <c r="L3" s="75" t="inlineStr">
        <is>
          <t>MD</t>
        </is>
      </c>
      <c r="M3" s="76" t="inlineStr">
        <is>
          <t>SIZE</t>
        </is>
      </c>
      <c r="N3" s="76" t="inlineStr">
        <is>
          <t>MD</t>
        </is>
      </c>
      <c r="O3" s="77" t="inlineStr">
        <is>
          <t>SIZE</t>
        </is>
      </c>
      <c r="P3" s="77" t="inlineStr">
        <is>
          <t>MD</t>
        </is>
      </c>
      <c r="Q3" s="78" t="inlineStr">
        <is>
          <t>UX DESIGN ASSUMPTIONS</t>
        </is>
      </c>
      <c r="R3" s="78" t="inlineStr">
        <is>
          <t>FE / TECH ASSUMPTIONS</t>
        </is>
      </c>
      <c r="S3" s="78" t="inlineStr">
        <is>
          <t>BE / API ASSUMPTIONS</t>
        </is>
      </c>
      <c r="T3" s="78" t="inlineStr">
        <is>
          <t>AI / DATA ASSUMPTIONS</t>
        </is>
      </c>
      <c r="U3" s="78" t="inlineStr">
        <is>
          <t>INTEGRATION ASSESSMENT</t>
        </is>
      </c>
      <c r="V3" s="78" t="inlineStr">
        <is>
          <t>DEPENDENCIES</t>
        </is>
      </c>
    </row>
    <row r="4" ht="45" customHeight="1" s="54">
      <c r="A4" s="79" t="n"/>
      <c r="B4" s="79" t="n"/>
      <c r="C4" s="79" t="n"/>
      <c r="D4" s="79" t="n"/>
      <c r="E4" s="79" t="n"/>
      <c r="F4" s="79" t="n"/>
      <c r="G4" s="79" t="n"/>
      <c r="H4" s="79" t="n"/>
      <c r="I4" s="80" t="n"/>
      <c r="J4" s="81">
        <f>IFERROR(VLOOKUP(I4,'Design(T-Shirt Sizing)'!$A$3:$B$9,2,FALSE()),0)</f>
        <v/>
      </c>
      <c r="K4" s="82" t="n"/>
      <c r="L4" s="83">
        <f>IFERROR(VLOOKUP(K4,'FE(T-Shirt Sizing)'!$A$3:$B$9,2,FALSE()),0)</f>
        <v/>
      </c>
      <c r="M4" s="84" t="n"/>
      <c r="N4" s="85">
        <f>IFERROR(VLOOKUP(M4,'BE(T-Shirt Sizing)'!$A$3:$B$9,2,FALSE()),0)</f>
        <v/>
      </c>
      <c r="O4" s="86" t="n"/>
      <c r="P4" s="87">
        <f>IFERROR(VLOOKUP(O4,'AI(T-Shirt Sizing)'!$A$3:$B$9,2,FALSE()),0)</f>
        <v/>
      </c>
      <c r="Q4" s="88" t="n"/>
      <c r="R4" s="88" t="n"/>
      <c r="S4" s="88" t="n"/>
      <c r="T4" s="88" t="n"/>
      <c r="U4" s="88" t="n"/>
      <c r="V4" s="88" t="n"/>
    </row>
    <row r="5" ht="45" customHeight="1" s="54">
      <c r="A5" s="89" t="n"/>
      <c r="B5" s="89" t="n"/>
      <c r="C5" s="89" t="n"/>
      <c r="D5" s="89" t="n"/>
      <c r="E5" s="89" t="n"/>
      <c r="F5" s="89" t="n"/>
      <c r="G5" s="89" t="n"/>
      <c r="H5" s="89" t="n"/>
      <c r="I5" s="80" t="n"/>
      <c r="J5" s="81">
        <f>IFERROR(VLOOKUP(I5,'Design(T-Shirt Sizing)'!$A$3:$B$9,2,FALSE()),0)</f>
        <v/>
      </c>
      <c r="K5" s="82" t="n"/>
      <c r="L5" s="83">
        <f>IFERROR(VLOOKUP(K5,'FE(T-Shirt Sizing)'!$A$3:$B$9,2,FALSE()),0)</f>
        <v/>
      </c>
      <c r="M5" s="84" t="n"/>
      <c r="N5" s="85">
        <f>IFERROR(VLOOKUP(M5,'BE(T-Shirt Sizing)'!$A$3:$B$9,2,FALSE()),0)</f>
        <v/>
      </c>
      <c r="O5" s="86" t="n"/>
      <c r="P5" s="87">
        <f>IFERROR(VLOOKUP(O5,'AI(T-Shirt Sizing)'!$A$3:$B$9,2,FALSE()),0)</f>
        <v/>
      </c>
      <c r="Q5" s="88" t="n"/>
      <c r="R5" s="88" t="n"/>
      <c r="S5" s="88" t="n"/>
      <c r="T5" s="88" t="n"/>
      <c r="U5" s="88" t="n"/>
      <c r="V5" s="88" t="n"/>
    </row>
    <row r="6" ht="45" customHeight="1" s="54">
      <c r="A6" s="79" t="n"/>
      <c r="B6" s="79" t="n"/>
      <c r="C6" s="79" t="n"/>
      <c r="D6" s="79" t="n"/>
      <c r="E6" s="79" t="n"/>
      <c r="F6" s="79" t="n"/>
      <c r="G6" s="79" t="n"/>
      <c r="H6" s="79" t="n"/>
      <c r="I6" s="80" t="n"/>
      <c r="J6" s="81">
        <f>IFERROR(VLOOKUP(I6,'Design(T-Shirt Sizing)'!$A$3:$B$9,2,FALSE()),0)</f>
        <v/>
      </c>
      <c r="K6" s="82" t="n"/>
      <c r="L6" s="83">
        <f>IFERROR(VLOOKUP(K6,'FE(T-Shirt Sizing)'!$A$3:$B$9,2,FALSE()),0)</f>
        <v/>
      </c>
      <c r="M6" s="84" t="n"/>
      <c r="N6" s="85">
        <f>IFERROR(VLOOKUP(M6,'BE(T-Shirt Sizing)'!$A$3:$B$9,2,FALSE()),0)</f>
        <v/>
      </c>
      <c r="O6" s="86" t="n"/>
      <c r="P6" s="87">
        <f>IFERROR(VLOOKUP(O6,'AI(T-Shirt Sizing)'!$A$3:$B$9,2,FALSE()),0)</f>
        <v/>
      </c>
      <c r="Q6" s="88" t="n"/>
      <c r="R6" s="88" t="n"/>
      <c r="S6" s="88" t="n"/>
      <c r="T6" s="88" t="n"/>
      <c r="U6" s="88" t="n"/>
      <c r="V6" s="88" t="n"/>
    </row>
    <row r="7" ht="45" customHeight="1" s="54">
      <c r="A7" s="89" t="n"/>
      <c r="B7" s="89" t="n"/>
      <c r="C7" s="89" t="n"/>
      <c r="D7" s="89" t="n"/>
      <c r="E7" s="89" t="n"/>
      <c r="F7" s="89" t="n"/>
      <c r="G7" s="89" t="n"/>
      <c r="H7" s="89" t="n"/>
      <c r="I7" s="80" t="n"/>
      <c r="J7" s="81">
        <f>IFERROR(VLOOKUP(I7,'Design(T-Shirt Sizing)'!$A$3:$B$9,2,FALSE()),0)</f>
        <v/>
      </c>
      <c r="K7" s="82" t="n"/>
      <c r="L7" s="83">
        <f>IFERROR(VLOOKUP(K7,'FE(T-Shirt Sizing)'!$A$3:$B$9,2,FALSE()),0)</f>
        <v/>
      </c>
      <c r="M7" s="84" t="n"/>
      <c r="N7" s="85">
        <f>IFERROR(VLOOKUP(M7,'BE(T-Shirt Sizing)'!$A$3:$B$9,2,FALSE()),0)</f>
        <v/>
      </c>
      <c r="O7" s="86" t="n"/>
      <c r="P7" s="87">
        <f>IFERROR(VLOOKUP(O7,'AI(T-Shirt Sizing)'!$A$3:$B$9,2,FALSE()),0)</f>
        <v/>
      </c>
      <c r="Q7" s="88" t="n"/>
      <c r="R7" s="88" t="n"/>
      <c r="S7" s="88" t="n"/>
      <c r="T7" s="88" t="n"/>
      <c r="U7" s="88" t="n"/>
      <c r="V7" s="88" t="n"/>
    </row>
    <row r="8" ht="45" customHeight="1" s="54">
      <c r="A8" s="79" t="n"/>
      <c r="B8" s="79" t="n"/>
      <c r="C8" s="79" t="n"/>
      <c r="D8" s="79" t="n"/>
      <c r="E8" s="79" t="n"/>
      <c r="F8" s="79" t="n"/>
      <c r="G8" s="79" t="n"/>
      <c r="H8" s="79" t="n"/>
      <c r="I8" s="80" t="n"/>
      <c r="J8" s="81">
        <f>IFERROR(VLOOKUP(I8,'Design(T-Shirt Sizing)'!$A$3:$B$9,2,FALSE()),0)</f>
        <v/>
      </c>
      <c r="K8" s="82" t="n"/>
      <c r="L8" s="83">
        <f>IFERROR(VLOOKUP(K8,'FE(T-Shirt Sizing)'!$A$3:$B$9,2,FALSE()),0)</f>
        <v/>
      </c>
      <c r="M8" s="84" t="n"/>
      <c r="N8" s="85">
        <f>IFERROR(VLOOKUP(M8,'BE(T-Shirt Sizing)'!$A$3:$B$9,2,FALSE()),0)</f>
        <v/>
      </c>
      <c r="O8" s="86" t="n"/>
      <c r="P8" s="87">
        <f>IFERROR(VLOOKUP(O8,'AI(T-Shirt Sizing)'!$A$3:$B$9,2,FALSE()),0)</f>
        <v/>
      </c>
      <c r="Q8" s="88" t="n"/>
      <c r="R8" s="88" t="n"/>
      <c r="S8" s="88" t="n"/>
      <c r="T8" s="88" t="n"/>
      <c r="U8" s="88" t="n"/>
      <c r="V8" s="88" t="n"/>
    </row>
    <row r="9" ht="45" customHeight="1" s="54">
      <c r="A9" s="89" t="n"/>
      <c r="B9" s="89" t="n"/>
      <c r="C9" s="89" t="n"/>
      <c r="D9" s="89" t="n"/>
      <c r="E9" s="89" t="n"/>
      <c r="F9" s="89" t="n"/>
      <c r="G9" s="89" t="n"/>
      <c r="H9" s="89" t="n"/>
      <c r="I9" s="80" t="n"/>
      <c r="J9" s="81">
        <f>IFERROR(VLOOKUP(I9,'Design(T-Shirt Sizing)'!$A$3:$B$9,2,FALSE()),0)</f>
        <v/>
      </c>
      <c r="K9" s="82" t="n"/>
      <c r="L9" s="83">
        <f>IFERROR(VLOOKUP(K9,'FE(T-Shirt Sizing)'!$A$3:$B$9,2,FALSE()),0)</f>
        <v/>
      </c>
      <c r="M9" s="84" t="n"/>
      <c r="N9" s="85">
        <f>IFERROR(VLOOKUP(M9,'BE(T-Shirt Sizing)'!$A$3:$B$9,2,FALSE()),0)</f>
        <v/>
      </c>
      <c r="O9" s="86" t="n"/>
      <c r="P9" s="87">
        <f>IFERROR(VLOOKUP(O9,'AI(T-Shirt Sizing)'!$A$3:$B$9,2,FALSE()),0)</f>
        <v/>
      </c>
      <c r="Q9" s="88" t="n"/>
      <c r="R9" s="88" t="n"/>
      <c r="S9" s="88" t="n"/>
      <c r="T9" s="88" t="n"/>
      <c r="U9" s="88" t="n"/>
      <c r="V9" s="88" t="n"/>
    </row>
    <row r="10" ht="45" customHeight="1" s="54">
      <c r="A10" s="79" t="n"/>
      <c r="B10" s="79" t="n"/>
      <c r="C10" s="79" t="n"/>
      <c r="D10" s="79" t="n"/>
      <c r="E10" s="79" t="n"/>
      <c r="F10" s="79" t="n"/>
      <c r="G10" s="79" t="n"/>
      <c r="H10" s="79" t="n"/>
      <c r="I10" s="80" t="n"/>
      <c r="J10" s="81">
        <f>IFERROR(VLOOKUP(I10,'Design(T-Shirt Sizing)'!$A$3:$B$9,2,FALSE()),0)</f>
        <v/>
      </c>
      <c r="K10" s="82" t="n"/>
      <c r="L10" s="83">
        <f>IFERROR(VLOOKUP(K10,'FE(T-Shirt Sizing)'!$A$3:$B$9,2,FALSE()),0)</f>
        <v/>
      </c>
      <c r="M10" s="84" t="n"/>
      <c r="N10" s="85">
        <f>IFERROR(VLOOKUP(M10,'BE(T-Shirt Sizing)'!$A$3:$B$9,2,FALSE()),0)</f>
        <v/>
      </c>
      <c r="O10" s="86" t="n"/>
      <c r="P10" s="87">
        <f>IFERROR(VLOOKUP(O10,'AI(T-Shirt Sizing)'!$A$3:$B$9,2,FALSE()),0)</f>
        <v/>
      </c>
      <c r="Q10" s="88" t="n"/>
      <c r="R10" s="88" t="n"/>
      <c r="S10" s="88" t="n"/>
      <c r="T10" s="88" t="n"/>
      <c r="U10" s="88" t="n"/>
      <c r="V10" s="88" t="n"/>
    </row>
    <row r="11" ht="45" customHeight="1" s="54">
      <c r="A11" s="89" t="n"/>
      <c r="B11" s="89" t="n"/>
      <c r="C11" s="89" t="n"/>
      <c r="D11" s="89" t="n"/>
      <c r="E11" s="89" t="n"/>
      <c r="F11" s="89" t="n"/>
      <c r="G11" s="89" t="n"/>
      <c r="H11" s="89" t="n"/>
      <c r="I11" s="80" t="n"/>
      <c r="J11" s="81">
        <f>IFERROR(VLOOKUP(I11,'Design(T-Shirt Sizing)'!$A$3:$B$9,2,FALSE()),0)</f>
        <v/>
      </c>
      <c r="K11" s="82" t="n"/>
      <c r="L11" s="83">
        <f>IFERROR(VLOOKUP(K11,'FE(T-Shirt Sizing)'!$A$3:$B$9,2,FALSE()),0)</f>
        <v/>
      </c>
      <c r="M11" s="84" t="n"/>
      <c r="N11" s="85">
        <f>IFERROR(VLOOKUP(M11,'BE(T-Shirt Sizing)'!$A$3:$B$9,2,FALSE()),0)</f>
        <v/>
      </c>
      <c r="O11" s="86" t="n"/>
      <c r="P11" s="87">
        <f>IFERROR(VLOOKUP(O11,'AI(T-Shirt Sizing)'!$A$3:$B$9,2,FALSE()),0)</f>
        <v/>
      </c>
      <c r="Q11" s="88" t="n"/>
      <c r="R11" s="88" t="n"/>
      <c r="S11" s="88" t="n"/>
      <c r="T11" s="88" t="n"/>
      <c r="U11" s="88" t="n"/>
      <c r="V11" s="88" t="n"/>
    </row>
    <row r="12" ht="45" customHeight="1" s="54">
      <c r="A12" s="79" t="n"/>
      <c r="B12" s="79" t="n"/>
      <c r="C12" s="79" t="n"/>
      <c r="D12" s="79" t="n"/>
      <c r="E12" s="79" t="n"/>
      <c r="F12" s="79" t="n"/>
      <c r="G12" s="79" t="n"/>
      <c r="H12" s="79" t="n"/>
      <c r="I12" s="80" t="n"/>
      <c r="J12" s="81">
        <f>IFERROR(VLOOKUP(I12,'Design(T-Shirt Sizing)'!$A$3:$B$9,2,FALSE()),0)</f>
        <v/>
      </c>
      <c r="K12" s="82" t="n"/>
      <c r="L12" s="83">
        <f>IFERROR(VLOOKUP(K12,'FE(T-Shirt Sizing)'!$A$3:$B$9,2,FALSE()),0)</f>
        <v/>
      </c>
      <c r="M12" s="84" t="n"/>
      <c r="N12" s="85">
        <f>IFERROR(VLOOKUP(M12,'BE(T-Shirt Sizing)'!$A$3:$B$9,2,FALSE()),0)</f>
        <v/>
      </c>
      <c r="O12" s="86" t="n"/>
      <c r="P12" s="87">
        <f>IFERROR(VLOOKUP(O12,'AI(T-Shirt Sizing)'!$A$3:$B$9,2,FALSE()),0)</f>
        <v/>
      </c>
      <c r="Q12" s="88" t="n"/>
      <c r="R12" s="88" t="n"/>
      <c r="S12" s="88" t="n"/>
      <c r="T12" s="88" t="n"/>
      <c r="U12" s="88" t="n"/>
      <c r="V12" s="88" t="n"/>
    </row>
    <row r="13" ht="45" customHeight="1" s="54">
      <c r="A13" s="89" t="n"/>
      <c r="B13" s="89" t="n"/>
      <c r="C13" s="89" t="n"/>
      <c r="D13" s="89" t="n"/>
      <c r="E13" s="89" t="n"/>
      <c r="F13" s="89" t="n"/>
      <c r="G13" s="89" t="n"/>
      <c r="H13" s="89" t="n"/>
      <c r="I13" s="80" t="n"/>
      <c r="J13" s="81">
        <f>IFERROR(VLOOKUP(I13,'Design(T-Shirt Sizing)'!$A$3:$B$9,2,FALSE()),0)</f>
        <v/>
      </c>
      <c r="K13" s="82" t="n"/>
      <c r="L13" s="83">
        <f>IFERROR(VLOOKUP(K13,'FE(T-Shirt Sizing)'!$A$3:$B$9,2,FALSE()),0)</f>
        <v/>
      </c>
      <c r="M13" s="84" t="n"/>
      <c r="N13" s="85">
        <f>IFERROR(VLOOKUP(M13,'BE(T-Shirt Sizing)'!$A$3:$B$9,2,FALSE()),0)</f>
        <v/>
      </c>
      <c r="O13" s="86" t="n"/>
      <c r="P13" s="87">
        <f>IFERROR(VLOOKUP(O13,'AI(T-Shirt Sizing)'!$A$3:$B$9,2,FALSE()),0)</f>
        <v/>
      </c>
      <c r="Q13" s="88" t="n"/>
      <c r="R13" s="88" t="n"/>
      <c r="S13" s="88" t="n"/>
      <c r="T13" s="88" t="n"/>
      <c r="U13" s="88" t="n"/>
      <c r="V13" s="88" t="n"/>
    </row>
    <row r="14" ht="45" customHeight="1" s="54">
      <c r="A14" s="79" t="n"/>
      <c r="B14" s="79" t="n"/>
      <c r="C14" s="79" t="n"/>
      <c r="D14" s="79" t="n"/>
      <c r="E14" s="79" t="n"/>
      <c r="F14" s="79" t="n"/>
      <c r="G14" s="79" t="n"/>
      <c r="H14" s="79" t="n"/>
      <c r="I14" s="80" t="n"/>
      <c r="J14" s="81">
        <f>IFERROR(VLOOKUP(I14,'Design(T-Shirt Sizing)'!$A$3:$B$9,2,FALSE()),0)</f>
        <v/>
      </c>
      <c r="K14" s="82" t="n"/>
      <c r="L14" s="83">
        <f>IFERROR(VLOOKUP(K14,'FE(T-Shirt Sizing)'!$A$3:$B$9,2,FALSE()),0)</f>
        <v/>
      </c>
      <c r="M14" s="84" t="n"/>
      <c r="N14" s="85">
        <f>IFERROR(VLOOKUP(M14,'BE(T-Shirt Sizing)'!$A$3:$B$9,2,FALSE()),0)</f>
        <v/>
      </c>
      <c r="O14" s="86" t="n"/>
      <c r="P14" s="87">
        <f>IFERROR(VLOOKUP(O14,'AI(T-Shirt Sizing)'!$A$3:$B$9,2,FALSE()),0)</f>
        <v/>
      </c>
      <c r="Q14" s="88" t="n"/>
      <c r="R14" s="88" t="n"/>
      <c r="S14" s="88" t="n"/>
      <c r="T14" s="88" t="n"/>
      <c r="U14" s="88" t="n"/>
      <c r="V14" s="88" t="n"/>
    </row>
    <row r="15" ht="45" customHeight="1" s="54">
      <c r="A15" s="89" t="n"/>
      <c r="B15" s="89" t="n"/>
      <c r="C15" s="89" t="n"/>
      <c r="D15" s="89" t="n"/>
      <c r="E15" s="89" t="n"/>
      <c r="F15" s="89" t="n"/>
      <c r="G15" s="89" t="n"/>
      <c r="H15" s="89" t="n"/>
      <c r="I15" s="80" t="n"/>
      <c r="J15" s="81">
        <f>IFERROR(VLOOKUP(I15,'Design(T-Shirt Sizing)'!$A$3:$B$9,2,FALSE()),0)</f>
        <v/>
      </c>
      <c r="K15" s="82" t="n"/>
      <c r="L15" s="83">
        <f>IFERROR(VLOOKUP(K15,'FE(T-Shirt Sizing)'!$A$3:$B$9,2,FALSE()),0)</f>
        <v/>
      </c>
      <c r="M15" s="84" t="n"/>
      <c r="N15" s="85">
        <f>IFERROR(VLOOKUP(M15,'BE(T-Shirt Sizing)'!$A$3:$B$9,2,FALSE()),0)</f>
        <v/>
      </c>
      <c r="O15" s="86" t="n"/>
      <c r="P15" s="87">
        <f>IFERROR(VLOOKUP(O15,'AI(T-Shirt Sizing)'!$A$3:$B$9,2,FALSE()),0)</f>
        <v/>
      </c>
      <c r="Q15" s="88" t="n"/>
      <c r="R15" s="88" t="n"/>
      <c r="S15" s="88" t="n"/>
      <c r="T15" s="88" t="n"/>
      <c r="U15" s="88" t="n"/>
      <c r="V15" s="88" t="n"/>
    </row>
    <row r="16" ht="45" customHeight="1" s="54">
      <c r="A16" s="79" t="n"/>
      <c r="B16" s="79" t="n"/>
      <c r="C16" s="79" t="n"/>
      <c r="D16" s="79" t="n"/>
      <c r="E16" s="79" t="n"/>
      <c r="F16" s="79" t="n"/>
      <c r="G16" s="79" t="n"/>
      <c r="H16" s="79" t="n"/>
      <c r="I16" s="80" t="n"/>
      <c r="J16" s="81">
        <f>IFERROR(VLOOKUP(I16,'Design(T-Shirt Sizing)'!$A$3:$B$9,2,FALSE()),0)</f>
        <v/>
      </c>
      <c r="K16" s="82" t="n"/>
      <c r="L16" s="83">
        <f>IFERROR(VLOOKUP(K16,'FE(T-Shirt Sizing)'!$A$3:$B$9,2,FALSE()),0)</f>
        <v/>
      </c>
      <c r="M16" s="84" t="n"/>
      <c r="N16" s="85">
        <f>IFERROR(VLOOKUP(M16,'BE(T-Shirt Sizing)'!$A$3:$B$9,2,FALSE()),0)</f>
        <v/>
      </c>
      <c r="O16" s="86" t="n"/>
      <c r="P16" s="87">
        <f>IFERROR(VLOOKUP(O16,'AI(T-Shirt Sizing)'!$A$3:$B$9,2,FALSE()),0)</f>
        <v/>
      </c>
      <c r="Q16" s="88" t="n"/>
      <c r="R16" s="88" t="n"/>
      <c r="S16" s="88" t="n"/>
      <c r="T16" s="88" t="n"/>
      <c r="U16" s="88" t="n"/>
      <c r="V16" s="88" t="n"/>
    </row>
    <row r="17" ht="45" customHeight="1" s="54">
      <c r="A17" s="89" t="n"/>
      <c r="B17" s="89" t="n"/>
      <c r="C17" s="89" t="n"/>
      <c r="D17" s="89" t="n"/>
      <c r="E17" s="89" t="n"/>
      <c r="F17" s="89" t="n"/>
      <c r="G17" s="89" t="n"/>
      <c r="H17" s="89" t="n"/>
      <c r="I17" s="80" t="n"/>
      <c r="J17" s="81">
        <f>IFERROR(VLOOKUP(I17,'Design(T-Shirt Sizing)'!$A$3:$B$9,2,FALSE()),0)</f>
        <v/>
      </c>
      <c r="K17" s="82" t="n"/>
      <c r="L17" s="83">
        <f>IFERROR(VLOOKUP(K17,'FE(T-Shirt Sizing)'!$A$3:$B$9,2,FALSE()),0)</f>
        <v/>
      </c>
      <c r="M17" s="84" t="n"/>
      <c r="N17" s="85">
        <f>IFERROR(VLOOKUP(M17,'BE(T-Shirt Sizing)'!$A$3:$B$9,2,FALSE()),0)</f>
        <v/>
      </c>
      <c r="O17" s="86" t="n"/>
      <c r="P17" s="87">
        <f>IFERROR(VLOOKUP(O17,'AI(T-Shirt Sizing)'!$A$3:$B$9,2,FALSE()),0)</f>
        <v/>
      </c>
      <c r="Q17" s="88" t="n"/>
      <c r="R17" s="88" t="n"/>
      <c r="S17" s="88" t="n"/>
      <c r="T17" s="88" t="n"/>
      <c r="U17" s="88" t="n"/>
      <c r="V17" s="88" t="n"/>
    </row>
    <row r="18" ht="45" customHeight="1" s="54">
      <c r="A18" s="79" t="n"/>
      <c r="B18" s="79" t="n"/>
      <c r="C18" s="79" t="n"/>
      <c r="D18" s="79" t="n"/>
      <c r="E18" s="79" t="n"/>
      <c r="F18" s="79" t="n"/>
      <c r="G18" s="79" t="n"/>
      <c r="H18" s="79" t="n"/>
      <c r="I18" s="80" t="n"/>
      <c r="J18" s="81">
        <f>IFERROR(VLOOKUP(I18,'Design(T-Shirt Sizing)'!$A$3:$B$9,2,FALSE()),0)</f>
        <v/>
      </c>
      <c r="K18" s="82" t="n"/>
      <c r="L18" s="83">
        <f>IFERROR(VLOOKUP(K18,'FE(T-Shirt Sizing)'!$A$3:$B$9,2,FALSE()),0)</f>
        <v/>
      </c>
      <c r="M18" s="84" t="n"/>
      <c r="N18" s="85">
        <f>IFERROR(VLOOKUP(M18,'BE(T-Shirt Sizing)'!$A$3:$B$9,2,FALSE()),0)</f>
        <v/>
      </c>
      <c r="O18" s="86" t="n"/>
      <c r="P18" s="87">
        <f>IFERROR(VLOOKUP(O18,'AI(T-Shirt Sizing)'!$A$3:$B$9,2,FALSE()),0)</f>
        <v/>
      </c>
      <c r="Q18" s="88" t="n"/>
      <c r="R18" s="88" t="n"/>
      <c r="S18" s="88" t="n"/>
      <c r="T18" s="88" t="n"/>
      <c r="U18" s="88" t="n"/>
      <c r="V18" s="88" t="n"/>
    </row>
    <row r="19" ht="45" customHeight="1" s="54">
      <c r="A19" s="89" t="n"/>
      <c r="B19" s="89" t="n"/>
      <c r="C19" s="89" t="n"/>
      <c r="D19" s="89" t="n"/>
      <c r="E19" s="89" t="n"/>
      <c r="F19" s="89" t="n"/>
      <c r="G19" s="89" t="n"/>
      <c r="H19" s="89" t="n"/>
      <c r="I19" s="80" t="n"/>
      <c r="J19" s="81">
        <f>IFERROR(VLOOKUP(I19,'Design(T-Shirt Sizing)'!$A$3:$B$9,2,FALSE()),0)</f>
        <v/>
      </c>
      <c r="K19" s="82" t="n"/>
      <c r="L19" s="83">
        <f>IFERROR(VLOOKUP(K19,'FE(T-Shirt Sizing)'!$A$3:$B$9,2,FALSE()),0)</f>
        <v/>
      </c>
      <c r="M19" s="84" t="n"/>
      <c r="N19" s="85">
        <f>IFERROR(VLOOKUP(M19,'BE(T-Shirt Sizing)'!$A$3:$B$9,2,FALSE()),0)</f>
        <v/>
      </c>
      <c r="O19" s="86" t="n"/>
      <c r="P19" s="87">
        <f>IFERROR(VLOOKUP(O19,'AI(T-Shirt Sizing)'!$A$3:$B$9,2,FALSE()),0)</f>
        <v/>
      </c>
      <c r="Q19" s="88" t="n"/>
      <c r="R19" s="88" t="n"/>
      <c r="S19" s="88" t="n"/>
      <c r="T19" s="88" t="n"/>
      <c r="U19" s="88" t="n"/>
      <c r="V19" s="88" t="n"/>
    </row>
    <row r="20" ht="45" customHeight="1" s="54">
      <c r="A20" s="79" t="n"/>
      <c r="B20" s="79" t="n"/>
      <c r="C20" s="79" t="n"/>
      <c r="D20" s="79" t="n"/>
      <c r="E20" s="79" t="n"/>
      <c r="F20" s="79" t="n"/>
      <c r="G20" s="79" t="n"/>
      <c r="H20" s="79" t="n"/>
      <c r="I20" s="80" t="n"/>
      <c r="J20" s="81">
        <f>IFERROR(VLOOKUP(I20,'Design(T-Shirt Sizing)'!$A$3:$B$9,2,FALSE()),0)</f>
        <v/>
      </c>
      <c r="K20" s="82" t="n"/>
      <c r="L20" s="83">
        <f>IFERROR(VLOOKUP(K20,'FE(T-Shirt Sizing)'!$A$3:$B$9,2,FALSE()),0)</f>
        <v/>
      </c>
      <c r="M20" s="84" t="n"/>
      <c r="N20" s="85">
        <f>IFERROR(VLOOKUP(M20,'BE(T-Shirt Sizing)'!$A$3:$B$9,2,FALSE()),0)</f>
        <v/>
      </c>
      <c r="O20" s="86" t="n"/>
      <c r="P20" s="87">
        <f>IFERROR(VLOOKUP(O20,'AI(T-Shirt Sizing)'!$A$3:$B$9,2,FALSE()),0)</f>
        <v/>
      </c>
      <c r="Q20" s="88" t="n"/>
      <c r="R20" s="88" t="n"/>
      <c r="S20" s="88" t="n"/>
      <c r="T20" s="88" t="n"/>
      <c r="U20" s="88" t="n"/>
      <c r="V20" s="88" t="n"/>
    </row>
    <row r="21" ht="45" customHeight="1" s="54">
      <c r="A21" s="89" t="n"/>
      <c r="B21" s="89" t="n"/>
      <c r="C21" s="89" t="n"/>
      <c r="D21" s="89" t="n"/>
      <c r="E21" s="89" t="n"/>
      <c r="F21" s="89" t="n"/>
      <c r="G21" s="89" t="n"/>
      <c r="H21" s="89" t="n"/>
      <c r="I21" s="80" t="n"/>
      <c r="J21" s="81">
        <f>IFERROR(VLOOKUP(I21,'Design(T-Shirt Sizing)'!$A$3:$B$9,2,FALSE()),0)</f>
        <v/>
      </c>
      <c r="K21" s="82" t="n"/>
      <c r="L21" s="83">
        <f>IFERROR(VLOOKUP(K21,'FE(T-Shirt Sizing)'!$A$3:$B$9,2,FALSE()),0)</f>
        <v/>
      </c>
      <c r="M21" s="84" t="n"/>
      <c r="N21" s="85">
        <f>IFERROR(VLOOKUP(M21,'BE(T-Shirt Sizing)'!$A$3:$B$9,2,FALSE()),0)</f>
        <v/>
      </c>
      <c r="O21" s="86" t="n"/>
      <c r="P21" s="87">
        <f>IFERROR(VLOOKUP(O21,'AI(T-Shirt Sizing)'!$A$3:$B$9,2,FALSE()),0)</f>
        <v/>
      </c>
      <c r="Q21" s="88" t="n"/>
      <c r="R21" s="88" t="n"/>
      <c r="S21" s="88" t="n"/>
      <c r="T21" s="88" t="n"/>
      <c r="U21" s="88" t="n"/>
      <c r="V21" s="88" t="n"/>
    </row>
    <row r="22" ht="45" customHeight="1" s="54">
      <c r="A22" s="79" t="n"/>
      <c r="B22" s="79" t="n"/>
      <c r="C22" s="79" t="n"/>
      <c r="D22" s="79" t="n"/>
      <c r="E22" s="79" t="n"/>
      <c r="F22" s="79" t="n"/>
      <c r="G22" s="79" t="n"/>
      <c r="H22" s="79" t="n"/>
      <c r="I22" s="80" t="n"/>
      <c r="J22" s="81">
        <f>IFERROR(VLOOKUP(I22,'Design(T-Shirt Sizing)'!$A$3:$B$9,2,FALSE()),0)</f>
        <v/>
      </c>
      <c r="K22" s="82" t="n"/>
      <c r="L22" s="83">
        <f>IFERROR(VLOOKUP(K22,'FE(T-Shirt Sizing)'!$A$3:$B$9,2,FALSE()),0)</f>
        <v/>
      </c>
      <c r="M22" s="84" t="n"/>
      <c r="N22" s="85">
        <f>IFERROR(VLOOKUP(M22,'BE(T-Shirt Sizing)'!$A$3:$B$9,2,FALSE()),0)</f>
        <v/>
      </c>
      <c r="O22" s="86" t="n"/>
      <c r="P22" s="87">
        <f>IFERROR(VLOOKUP(O22,'AI(T-Shirt Sizing)'!$A$3:$B$9,2,FALSE()),0)</f>
        <v/>
      </c>
      <c r="Q22" s="88" t="n"/>
      <c r="R22" s="88" t="n"/>
      <c r="S22" s="88" t="n"/>
      <c r="T22" s="88" t="n"/>
      <c r="U22" s="88" t="n"/>
      <c r="V22" s="88" t="n"/>
    </row>
    <row r="23" ht="45" customHeight="1" s="54">
      <c r="A23" s="89" t="n"/>
      <c r="B23" s="89" t="n"/>
      <c r="C23" s="89" t="n"/>
      <c r="D23" s="89" t="n"/>
      <c r="E23" s="89" t="n"/>
      <c r="F23" s="89" t="n"/>
      <c r="G23" s="89" t="n"/>
      <c r="H23" s="89" t="n"/>
      <c r="I23" s="80" t="n"/>
      <c r="J23" s="81">
        <f>IFERROR(VLOOKUP(I23,'Design(T-Shirt Sizing)'!$A$3:$B$9,2,FALSE()),0)</f>
        <v/>
      </c>
      <c r="K23" s="82" t="n"/>
      <c r="L23" s="83">
        <f>IFERROR(VLOOKUP(K23,'FE(T-Shirt Sizing)'!$A$3:$B$9,2,FALSE()),0)</f>
        <v/>
      </c>
      <c r="M23" s="84" t="n"/>
      <c r="N23" s="85">
        <f>IFERROR(VLOOKUP(M23,'BE(T-Shirt Sizing)'!$A$3:$B$9,2,FALSE()),0)</f>
        <v/>
      </c>
      <c r="O23" s="86" t="n"/>
      <c r="P23" s="87">
        <f>IFERROR(VLOOKUP(O23,'AI(T-Shirt Sizing)'!$A$3:$B$9,2,FALSE()),0)</f>
        <v/>
      </c>
      <c r="Q23" s="88" t="n"/>
      <c r="R23" s="88" t="n"/>
      <c r="S23" s="88" t="n"/>
      <c r="T23" s="88" t="n"/>
      <c r="U23" s="88" t="n"/>
      <c r="V23" s="88" t="n"/>
    </row>
    <row r="24" ht="45" customHeight="1" s="54">
      <c r="A24" s="79" t="n"/>
      <c r="B24" s="79" t="n"/>
      <c r="C24" s="79" t="n"/>
      <c r="D24" s="79" t="n"/>
      <c r="E24" s="79" t="n"/>
      <c r="F24" s="79" t="n"/>
      <c r="G24" s="79" t="n"/>
      <c r="H24" s="79" t="n"/>
      <c r="I24" s="80" t="n"/>
      <c r="J24" s="81">
        <f>IFERROR(VLOOKUP(I24,'Design(T-Shirt Sizing)'!$A$3:$B$9,2,FALSE()),0)</f>
        <v/>
      </c>
      <c r="K24" s="82" t="n"/>
      <c r="L24" s="83">
        <f>IFERROR(VLOOKUP(K24,'FE(T-Shirt Sizing)'!$A$3:$B$9,2,FALSE()),0)</f>
        <v/>
      </c>
      <c r="M24" s="84" t="n"/>
      <c r="N24" s="85">
        <f>IFERROR(VLOOKUP(M24,'BE(T-Shirt Sizing)'!$A$3:$B$9,2,FALSE()),0)</f>
        <v/>
      </c>
      <c r="O24" s="86" t="n"/>
      <c r="P24" s="87">
        <f>IFERROR(VLOOKUP(O24,'AI(T-Shirt Sizing)'!$A$3:$B$9,2,FALSE()),0)</f>
        <v/>
      </c>
      <c r="Q24" s="88" t="n"/>
      <c r="R24" s="88" t="n"/>
      <c r="S24" s="88" t="n"/>
      <c r="T24" s="88" t="n"/>
      <c r="U24" s="88" t="n"/>
      <c r="V24" s="88" t="n"/>
    </row>
    <row r="25" ht="45" customHeight="1" s="54">
      <c r="A25" s="89" t="n"/>
      <c r="B25" s="89" t="n"/>
      <c r="C25" s="89" t="n"/>
      <c r="D25" s="89" t="n"/>
      <c r="E25" s="89" t="n"/>
      <c r="F25" s="89" t="n"/>
      <c r="G25" s="89" t="n"/>
      <c r="H25" s="89" t="n"/>
      <c r="I25" s="80" t="n"/>
      <c r="J25" s="81">
        <f>IFERROR(VLOOKUP(I25,'Design(T-Shirt Sizing)'!$A$3:$B$9,2,FALSE()),0)</f>
        <v/>
      </c>
      <c r="K25" s="82" t="n"/>
      <c r="L25" s="83">
        <f>IFERROR(VLOOKUP(K25,'FE(T-Shirt Sizing)'!$A$3:$B$9,2,FALSE()),0)</f>
        <v/>
      </c>
      <c r="M25" s="84" t="n"/>
      <c r="N25" s="85">
        <f>IFERROR(VLOOKUP(M25,'BE(T-Shirt Sizing)'!$A$3:$B$9,2,FALSE()),0)</f>
        <v/>
      </c>
      <c r="O25" s="86" t="n"/>
      <c r="P25" s="87">
        <f>IFERROR(VLOOKUP(O25,'AI(T-Shirt Sizing)'!$A$3:$B$9,2,FALSE()),0)</f>
        <v/>
      </c>
      <c r="Q25" s="88" t="n"/>
      <c r="R25" s="88" t="n"/>
      <c r="S25" s="88" t="n"/>
      <c r="T25" s="88" t="n"/>
      <c r="U25" s="88" t="n"/>
      <c r="V25" s="88" t="n"/>
    </row>
    <row r="26" ht="45" customHeight="1" s="54">
      <c r="A26" s="79" t="n"/>
      <c r="B26" s="79" t="n"/>
      <c r="C26" s="79" t="n"/>
      <c r="D26" s="79" t="n"/>
      <c r="E26" s="79" t="n"/>
      <c r="F26" s="79" t="n"/>
      <c r="G26" s="79" t="n"/>
      <c r="H26" s="79" t="n"/>
      <c r="I26" s="80" t="n"/>
      <c r="J26" s="81">
        <f>IFERROR(VLOOKUP(I26,'Design(T-Shirt Sizing)'!$A$3:$B$9,2,FALSE()),0)</f>
        <v/>
      </c>
      <c r="K26" s="82" t="n"/>
      <c r="L26" s="83">
        <f>IFERROR(VLOOKUP(K26,'FE(T-Shirt Sizing)'!$A$3:$B$9,2,FALSE()),0)</f>
        <v/>
      </c>
      <c r="M26" s="84" t="n"/>
      <c r="N26" s="85">
        <f>IFERROR(VLOOKUP(M26,'BE(T-Shirt Sizing)'!$A$3:$B$9,2,FALSE()),0)</f>
        <v/>
      </c>
      <c r="O26" s="86" t="n"/>
      <c r="P26" s="87">
        <f>IFERROR(VLOOKUP(O26,'AI(T-Shirt Sizing)'!$A$3:$B$9,2,FALSE()),0)</f>
        <v/>
      </c>
      <c r="Q26" s="88" t="n"/>
      <c r="R26" s="88" t="n"/>
      <c r="S26" s="88" t="n"/>
      <c r="T26" s="88" t="n"/>
      <c r="U26" s="88" t="n"/>
      <c r="V26" s="88" t="n"/>
    </row>
    <row r="27" ht="45" customHeight="1" s="54">
      <c r="A27" s="89" t="n"/>
      <c r="B27" s="89" t="n"/>
      <c r="C27" s="89" t="n"/>
      <c r="D27" s="89" t="n"/>
      <c r="E27" s="89" t="n"/>
      <c r="F27" s="89" t="n"/>
      <c r="G27" s="89" t="n"/>
      <c r="H27" s="89" t="n"/>
      <c r="I27" s="80" t="n"/>
      <c r="J27" s="81">
        <f>IFERROR(VLOOKUP(I27,'Design(T-Shirt Sizing)'!$A$3:$B$9,2,FALSE()),0)</f>
        <v/>
      </c>
      <c r="K27" s="82" t="n"/>
      <c r="L27" s="83">
        <f>IFERROR(VLOOKUP(K27,'FE(T-Shirt Sizing)'!$A$3:$B$9,2,FALSE()),0)</f>
        <v/>
      </c>
      <c r="M27" s="84" t="n"/>
      <c r="N27" s="85">
        <f>IFERROR(VLOOKUP(M27,'BE(T-Shirt Sizing)'!$A$3:$B$9,2,FALSE()),0)</f>
        <v/>
      </c>
      <c r="O27" s="86" t="n"/>
      <c r="P27" s="87">
        <f>IFERROR(VLOOKUP(O27,'AI(T-Shirt Sizing)'!$A$3:$B$9,2,FALSE()),0)</f>
        <v/>
      </c>
      <c r="Q27" s="88" t="n"/>
      <c r="R27" s="88" t="n"/>
      <c r="S27" s="88" t="n"/>
      <c r="T27" s="88" t="n"/>
      <c r="U27" s="88" t="n"/>
      <c r="V27" s="88" t="n"/>
    </row>
    <row r="28" ht="45" customHeight="1" s="54">
      <c r="A28" s="79" t="n"/>
      <c r="B28" s="79" t="n"/>
      <c r="C28" s="79" t="n"/>
      <c r="D28" s="79" t="n"/>
      <c r="E28" s="79" t="n"/>
      <c r="F28" s="79" t="n"/>
      <c r="G28" s="79" t="n"/>
      <c r="H28" s="79" t="n"/>
      <c r="I28" s="80" t="n"/>
      <c r="J28" s="81">
        <f>IFERROR(VLOOKUP(I28,'Design(T-Shirt Sizing)'!$A$3:$B$9,2,FALSE()),0)</f>
        <v/>
      </c>
      <c r="K28" s="82" t="n"/>
      <c r="L28" s="83">
        <f>IFERROR(VLOOKUP(K28,'FE(T-Shirt Sizing)'!$A$3:$B$9,2,FALSE()),0)</f>
        <v/>
      </c>
      <c r="M28" s="84" t="n"/>
      <c r="N28" s="85">
        <f>IFERROR(VLOOKUP(M28,'BE(T-Shirt Sizing)'!$A$3:$B$9,2,FALSE()),0)</f>
        <v/>
      </c>
      <c r="O28" s="86" t="n"/>
      <c r="P28" s="87">
        <f>IFERROR(VLOOKUP(O28,'AI(T-Shirt Sizing)'!$A$3:$B$9,2,FALSE()),0)</f>
        <v/>
      </c>
      <c r="Q28" s="88" t="n"/>
      <c r="R28" s="88" t="n"/>
      <c r="S28" s="88" t="n"/>
      <c r="T28" s="88" t="n"/>
      <c r="U28" s="88" t="n"/>
      <c r="V28" s="88" t="n"/>
    </row>
    <row r="29" ht="45" customHeight="1" s="54">
      <c r="A29" s="89" t="n"/>
      <c r="B29" s="89" t="n"/>
      <c r="C29" s="89" t="n"/>
      <c r="D29" s="89" t="n"/>
      <c r="E29" s="89" t="n"/>
      <c r="F29" s="89" t="n"/>
      <c r="G29" s="89" t="n"/>
      <c r="H29" s="89" t="n"/>
      <c r="I29" s="80" t="n"/>
      <c r="J29" s="81">
        <f>IFERROR(VLOOKUP(I29,'Design(T-Shirt Sizing)'!$A$3:$B$9,2,FALSE()),0)</f>
        <v/>
      </c>
      <c r="K29" s="82" t="n"/>
      <c r="L29" s="83">
        <f>IFERROR(VLOOKUP(K29,'FE(T-Shirt Sizing)'!$A$3:$B$9,2,FALSE()),0)</f>
        <v/>
      </c>
      <c r="M29" s="84" t="n"/>
      <c r="N29" s="85">
        <f>IFERROR(VLOOKUP(M29,'BE(T-Shirt Sizing)'!$A$3:$B$9,2,FALSE()),0)</f>
        <v/>
      </c>
      <c r="O29" s="86" t="n"/>
      <c r="P29" s="87">
        <f>IFERROR(VLOOKUP(O29,'AI(T-Shirt Sizing)'!$A$3:$B$9,2,FALSE()),0)</f>
        <v/>
      </c>
      <c r="Q29" s="88" t="n"/>
      <c r="R29" s="88" t="n"/>
      <c r="S29" s="88" t="n"/>
      <c r="T29" s="88" t="n"/>
      <c r="U29" s="88" t="n"/>
      <c r="V29" s="88" t="n"/>
    </row>
    <row r="30" ht="45" customHeight="1" s="54">
      <c r="A30" s="79" t="n"/>
      <c r="B30" s="79" t="n"/>
      <c r="C30" s="79" t="n"/>
      <c r="D30" s="79" t="n"/>
      <c r="E30" s="79" t="n"/>
      <c r="F30" s="79" t="n"/>
      <c r="G30" s="79" t="n"/>
      <c r="H30" s="79" t="n"/>
      <c r="I30" s="80" t="n"/>
      <c r="J30" s="81">
        <f>IFERROR(VLOOKUP(I30,'Design(T-Shirt Sizing)'!$A$3:$B$9,2,FALSE()),0)</f>
        <v/>
      </c>
      <c r="K30" s="82" t="n"/>
      <c r="L30" s="83">
        <f>IFERROR(VLOOKUP(K30,'FE(T-Shirt Sizing)'!$A$3:$B$9,2,FALSE()),0)</f>
        <v/>
      </c>
      <c r="M30" s="84" t="n"/>
      <c r="N30" s="85">
        <f>IFERROR(VLOOKUP(M30,'BE(T-Shirt Sizing)'!$A$3:$B$9,2,FALSE()),0)</f>
        <v/>
      </c>
      <c r="O30" s="86" t="n"/>
      <c r="P30" s="87">
        <f>IFERROR(VLOOKUP(O30,'AI(T-Shirt Sizing)'!$A$3:$B$9,2,FALSE()),0)</f>
        <v/>
      </c>
      <c r="Q30" s="88" t="n"/>
      <c r="R30" s="88" t="n"/>
      <c r="S30" s="88" t="n"/>
      <c r="T30" s="88" t="n"/>
      <c r="U30" s="88" t="n"/>
      <c r="V30" s="88" t="n"/>
    </row>
    <row r="31" ht="45" customHeight="1" s="54">
      <c r="A31" s="89" t="n"/>
      <c r="B31" s="89" t="n"/>
      <c r="C31" s="89" t="n"/>
      <c r="D31" s="89" t="n"/>
      <c r="E31" s="89" t="n"/>
      <c r="F31" s="89" t="n"/>
      <c r="G31" s="89" t="n"/>
      <c r="H31" s="89" t="n"/>
      <c r="I31" s="80" t="n"/>
      <c r="J31" s="81">
        <f>IFERROR(VLOOKUP(I31,'Design(T-Shirt Sizing)'!$A$3:$B$9,2,FALSE()),0)</f>
        <v/>
      </c>
      <c r="K31" s="82" t="n"/>
      <c r="L31" s="83">
        <f>IFERROR(VLOOKUP(K31,'FE(T-Shirt Sizing)'!$A$3:$B$9,2,FALSE()),0)</f>
        <v/>
      </c>
      <c r="M31" s="84" t="n"/>
      <c r="N31" s="85">
        <f>IFERROR(VLOOKUP(M31,'BE(T-Shirt Sizing)'!$A$3:$B$9,2,FALSE()),0)</f>
        <v/>
      </c>
      <c r="O31" s="86" t="n"/>
      <c r="P31" s="87">
        <f>IFERROR(VLOOKUP(O31,'AI(T-Shirt Sizing)'!$A$3:$B$9,2,FALSE()),0)</f>
        <v/>
      </c>
      <c r="Q31" s="88" t="n"/>
      <c r="R31" s="88" t="n"/>
      <c r="S31" s="88" t="n"/>
      <c r="T31" s="88" t="n"/>
      <c r="U31" s="88" t="n"/>
      <c r="V31" s="88" t="n"/>
    </row>
    <row r="32" ht="45" customHeight="1" s="54">
      <c r="A32" s="79" t="n"/>
      <c r="B32" s="79" t="n"/>
      <c r="C32" s="79" t="n"/>
      <c r="D32" s="79" t="n"/>
      <c r="E32" s="79" t="n"/>
      <c r="F32" s="79" t="n"/>
      <c r="G32" s="79" t="n"/>
      <c r="H32" s="79" t="n"/>
      <c r="I32" s="80" t="n"/>
      <c r="J32" s="81">
        <f>IFERROR(VLOOKUP(I32,'Design(T-Shirt Sizing)'!$A$3:$B$9,2,FALSE()),0)</f>
        <v/>
      </c>
      <c r="K32" s="82" t="n"/>
      <c r="L32" s="83">
        <f>IFERROR(VLOOKUP(K32,'FE(T-Shirt Sizing)'!$A$3:$B$9,2,FALSE()),0)</f>
        <v/>
      </c>
      <c r="M32" s="84" t="n"/>
      <c r="N32" s="85">
        <f>IFERROR(VLOOKUP(M32,'BE(T-Shirt Sizing)'!$A$3:$B$9,2,FALSE()),0)</f>
        <v/>
      </c>
      <c r="O32" s="86" t="n"/>
      <c r="P32" s="87">
        <f>IFERROR(VLOOKUP(O32,'AI(T-Shirt Sizing)'!$A$3:$B$9,2,FALSE()),0)</f>
        <v/>
      </c>
      <c r="Q32" s="88" t="n"/>
      <c r="R32" s="88" t="n"/>
      <c r="S32" s="88" t="n"/>
      <c r="T32" s="88" t="n"/>
      <c r="U32" s="88" t="n"/>
      <c r="V32" s="88" t="n"/>
    </row>
    <row r="33" ht="45" customHeight="1" s="54">
      <c r="A33" s="89" t="n"/>
      <c r="B33" s="89" t="n"/>
      <c r="C33" s="89" t="n"/>
      <c r="D33" s="89" t="n"/>
      <c r="E33" s="89" t="n"/>
      <c r="F33" s="89" t="n"/>
      <c r="G33" s="89" t="n"/>
      <c r="H33" s="89" t="n"/>
      <c r="I33" s="80" t="n"/>
      <c r="J33" s="81">
        <f>IFERROR(VLOOKUP(I33,'Design(T-Shirt Sizing)'!$A$3:$B$9,2,FALSE()),0)</f>
        <v/>
      </c>
      <c r="K33" s="82" t="n"/>
      <c r="L33" s="83">
        <f>IFERROR(VLOOKUP(K33,'FE(T-Shirt Sizing)'!$A$3:$B$9,2,FALSE()),0)</f>
        <v/>
      </c>
      <c r="M33" s="84" t="n"/>
      <c r="N33" s="85">
        <f>IFERROR(VLOOKUP(M33,'BE(T-Shirt Sizing)'!$A$3:$B$9,2,FALSE()),0)</f>
        <v/>
      </c>
      <c r="O33" s="86" t="n"/>
      <c r="P33" s="87">
        <f>IFERROR(VLOOKUP(O33,'AI(T-Shirt Sizing)'!$A$3:$B$9,2,FALSE()),0)</f>
        <v/>
      </c>
      <c r="Q33" s="88" t="n"/>
      <c r="R33" s="88" t="n"/>
      <c r="S33" s="88" t="n"/>
      <c r="T33" s="88" t="n"/>
      <c r="U33" s="88" t="n"/>
      <c r="V33" s="88" t="n"/>
    </row>
    <row r="34" ht="45" customHeight="1" s="54">
      <c r="A34" s="79" t="n"/>
      <c r="B34" s="79" t="n"/>
      <c r="C34" s="79" t="n"/>
      <c r="D34" s="79" t="n"/>
      <c r="E34" s="79" t="n"/>
      <c r="F34" s="79" t="n"/>
      <c r="G34" s="79" t="n"/>
      <c r="H34" s="79" t="n"/>
      <c r="I34" s="80" t="n"/>
      <c r="J34" s="81">
        <f>IFERROR(VLOOKUP(I34,'Design(T-Shirt Sizing)'!$A$3:$B$9,2,FALSE()),0)</f>
        <v/>
      </c>
      <c r="K34" s="82" t="n"/>
      <c r="L34" s="83">
        <f>IFERROR(VLOOKUP(K34,'FE(T-Shirt Sizing)'!$A$3:$B$9,2,FALSE()),0)</f>
        <v/>
      </c>
      <c r="M34" s="84" t="n"/>
      <c r="N34" s="85">
        <f>IFERROR(VLOOKUP(M34,'BE(T-Shirt Sizing)'!$A$3:$B$9,2,FALSE()),0)</f>
        <v/>
      </c>
      <c r="O34" s="86" t="n"/>
      <c r="P34" s="87">
        <f>IFERROR(VLOOKUP(O34,'AI(T-Shirt Sizing)'!$A$3:$B$9,2,FALSE()),0)</f>
        <v/>
      </c>
      <c r="Q34" s="88" t="n"/>
      <c r="R34" s="88" t="n"/>
      <c r="S34" s="88" t="n"/>
      <c r="T34" s="88" t="n"/>
      <c r="U34" s="88" t="n"/>
      <c r="V34" s="88" t="n"/>
    </row>
    <row r="35" ht="45" customHeight="1" s="54">
      <c r="A35" s="89" t="n"/>
      <c r="B35" s="89" t="n"/>
      <c r="C35" s="89" t="n"/>
      <c r="D35" s="89" t="n"/>
      <c r="E35" s="89" t="n"/>
      <c r="F35" s="89" t="n"/>
      <c r="G35" s="89" t="n"/>
      <c r="H35" s="89" t="n"/>
      <c r="I35" s="80" t="n"/>
      <c r="J35" s="81">
        <f>IFERROR(VLOOKUP(I35,'Design(T-Shirt Sizing)'!$A$3:$B$9,2,FALSE()),0)</f>
        <v/>
      </c>
      <c r="K35" s="82" t="n"/>
      <c r="L35" s="83">
        <f>IFERROR(VLOOKUP(K35,'FE(T-Shirt Sizing)'!$A$3:$B$9,2,FALSE()),0)</f>
        <v/>
      </c>
      <c r="M35" s="84" t="n"/>
      <c r="N35" s="85">
        <f>IFERROR(VLOOKUP(M35,'BE(T-Shirt Sizing)'!$A$3:$B$9,2,FALSE()),0)</f>
        <v/>
      </c>
      <c r="O35" s="86" t="n"/>
      <c r="P35" s="87">
        <f>IFERROR(VLOOKUP(O35,'AI(T-Shirt Sizing)'!$A$3:$B$9,2,FALSE()),0)</f>
        <v/>
      </c>
      <c r="Q35" s="88" t="n"/>
      <c r="R35" s="88" t="n"/>
      <c r="S35" s="88" t="n"/>
      <c r="T35" s="88" t="n"/>
      <c r="U35" s="88" t="n"/>
      <c r="V35" s="88" t="n"/>
    </row>
    <row r="36" ht="45" customHeight="1" s="54">
      <c r="A36" s="79" t="n"/>
      <c r="B36" s="79" t="n"/>
      <c r="C36" s="79" t="n"/>
      <c r="D36" s="79" t="n"/>
      <c r="E36" s="79" t="n"/>
      <c r="F36" s="79" t="n"/>
      <c r="G36" s="79" t="n"/>
      <c r="H36" s="79" t="n"/>
      <c r="I36" s="80" t="n"/>
      <c r="J36" s="81">
        <f>IFERROR(VLOOKUP(I36,'Design(T-Shirt Sizing)'!$A$3:$B$9,2,FALSE()),0)</f>
        <v/>
      </c>
      <c r="K36" s="82" t="n"/>
      <c r="L36" s="83">
        <f>IFERROR(VLOOKUP(K36,'FE(T-Shirt Sizing)'!$A$3:$B$9,2,FALSE()),0)</f>
        <v/>
      </c>
      <c r="M36" s="84" t="n"/>
      <c r="N36" s="85">
        <f>IFERROR(VLOOKUP(M36,'BE(T-Shirt Sizing)'!$A$3:$B$9,2,FALSE()),0)</f>
        <v/>
      </c>
      <c r="O36" s="86" t="n"/>
      <c r="P36" s="87">
        <f>IFERROR(VLOOKUP(O36,'AI(T-Shirt Sizing)'!$A$3:$B$9,2,FALSE()),0)</f>
        <v/>
      </c>
      <c r="Q36" s="88" t="n"/>
      <c r="R36" s="88" t="n"/>
      <c r="S36" s="88" t="n"/>
      <c r="T36" s="88" t="n"/>
      <c r="U36" s="88" t="n"/>
      <c r="V36" s="88" t="n"/>
    </row>
    <row r="37" ht="45" customHeight="1" s="54">
      <c r="A37" s="89" t="n"/>
      <c r="B37" s="89" t="n"/>
      <c r="C37" s="89" t="n"/>
      <c r="D37" s="89" t="n"/>
      <c r="E37" s="89" t="n"/>
      <c r="F37" s="89" t="n"/>
      <c r="G37" s="89" t="n"/>
      <c r="H37" s="89" t="n"/>
      <c r="I37" s="80" t="n"/>
      <c r="J37" s="81">
        <f>IFERROR(VLOOKUP(I37,'Design(T-Shirt Sizing)'!$A$3:$B$9,2,FALSE()),0)</f>
        <v/>
      </c>
      <c r="K37" s="82" t="n"/>
      <c r="L37" s="83">
        <f>IFERROR(VLOOKUP(K37,'FE(T-Shirt Sizing)'!$A$3:$B$9,2,FALSE()),0)</f>
        <v/>
      </c>
      <c r="M37" s="84" t="n"/>
      <c r="N37" s="85">
        <f>IFERROR(VLOOKUP(M37,'BE(T-Shirt Sizing)'!$A$3:$B$9,2,FALSE()),0)</f>
        <v/>
      </c>
      <c r="O37" s="86" t="n"/>
      <c r="P37" s="87">
        <f>IFERROR(VLOOKUP(O37,'AI(T-Shirt Sizing)'!$A$3:$B$9,2,FALSE()),0)</f>
        <v/>
      </c>
      <c r="Q37" s="88" t="n"/>
      <c r="R37" s="88" t="n"/>
      <c r="S37" s="88" t="n"/>
      <c r="T37" s="88" t="n"/>
      <c r="U37" s="88" t="n"/>
      <c r="V37" s="88" t="n"/>
    </row>
    <row r="38" ht="45" customHeight="1" s="54">
      <c r="A38" s="79" t="n"/>
      <c r="B38" s="79" t="n"/>
      <c r="C38" s="79" t="n"/>
      <c r="D38" s="79" t="n"/>
      <c r="E38" s="79" t="n"/>
      <c r="F38" s="79" t="n"/>
      <c r="G38" s="79" t="n"/>
      <c r="H38" s="79" t="n"/>
      <c r="I38" s="80" t="n"/>
      <c r="J38" s="81">
        <f>IFERROR(VLOOKUP(I38,'Design(T-Shirt Sizing)'!$A$3:$B$9,2,FALSE()),0)</f>
        <v/>
      </c>
      <c r="K38" s="82" t="n"/>
      <c r="L38" s="83">
        <f>IFERROR(VLOOKUP(K38,'FE(T-Shirt Sizing)'!$A$3:$B$9,2,FALSE()),0)</f>
        <v/>
      </c>
      <c r="M38" s="84" t="n"/>
      <c r="N38" s="85">
        <f>IFERROR(VLOOKUP(M38,'BE(T-Shirt Sizing)'!$A$3:$B$9,2,FALSE()),0)</f>
        <v/>
      </c>
      <c r="O38" s="86" t="n"/>
      <c r="P38" s="87">
        <f>IFERROR(VLOOKUP(O38,'AI(T-Shirt Sizing)'!$A$3:$B$9,2,FALSE()),0)</f>
        <v/>
      </c>
      <c r="Q38" s="88" t="n"/>
      <c r="R38" s="88" t="n"/>
      <c r="S38" s="88" t="n"/>
      <c r="T38" s="88" t="n"/>
      <c r="U38" s="88" t="n"/>
      <c r="V38" s="88" t="n"/>
    </row>
    <row r="39" ht="45" customHeight="1" s="54">
      <c r="A39" s="89" t="n"/>
      <c r="B39" s="89" t="n"/>
      <c r="C39" s="89" t="n"/>
      <c r="D39" s="89" t="n"/>
      <c r="E39" s="89" t="n"/>
      <c r="F39" s="89" t="n"/>
      <c r="G39" s="89" t="n"/>
      <c r="H39" s="89" t="n"/>
      <c r="I39" s="80" t="n"/>
      <c r="J39" s="81">
        <f>IFERROR(VLOOKUP(I39,'Design(T-Shirt Sizing)'!$A$3:$B$9,2,FALSE()),0)</f>
        <v/>
      </c>
      <c r="K39" s="82" t="n"/>
      <c r="L39" s="83">
        <f>IFERROR(VLOOKUP(K39,'FE(T-Shirt Sizing)'!$A$3:$B$9,2,FALSE()),0)</f>
        <v/>
      </c>
      <c r="M39" s="84" t="n"/>
      <c r="N39" s="85">
        <f>IFERROR(VLOOKUP(M39,'BE(T-Shirt Sizing)'!$A$3:$B$9,2,FALSE()),0)</f>
        <v/>
      </c>
      <c r="O39" s="86" t="n"/>
      <c r="P39" s="87">
        <f>IFERROR(VLOOKUP(O39,'AI(T-Shirt Sizing)'!$A$3:$B$9,2,FALSE()),0)</f>
        <v/>
      </c>
      <c r="Q39" s="88" t="n"/>
      <c r="R39" s="88" t="n"/>
      <c r="S39" s="88" t="n"/>
      <c r="T39" s="88" t="n"/>
      <c r="U39" s="88" t="n"/>
      <c r="V39" s="88" t="n"/>
    </row>
    <row r="40" ht="45" customHeight="1" s="54">
      <c r="A40" s="79" t="n"/>
      <c r="B40" s="79" t="n"/>
      <c r="C40" s="79" t="n"/>
      <c r="D40" s="79" t="n"/>
      <c r="E40" s="79" t="n"/>
      <c r="F40" s="79" t="n"/>
      <c r="G40" s="79" t="n"/>
      <c r="H40" s="79" t="n"/>
      <c r="I40" s="80" t="n"/>
      <c r="J40" s="81">
        <f>IFERROR(VLOOKUP(I40,'Design(T-Shirt Sizing)'!$A$3:$B$9,2,FALSE()),0)</f>
        <v/>
      </c>
      <c r="K40" s="82" t="n"/>
      <c r="L40" s="83">
        <f>IFERROR(VLOOKUP(K40,'FE(T-Shirt Sizing)'!$A$3:$B$9,2,FALSE()),0)</f>
        <v/>
      </c>
      <c r="M40" s="84" t="n"/>
      <c r="N40" s="85">
        <f>IFERROR(VLOOKUP(M40,'BE(T-Shirt Sizing)'!$A$3:$B$9,2,FALSE()),0)</f>
        <v/>
      </c>
      <c r="O40" s="86" t="n"/>
      <c r="P40" s="87">
        <f>IFERROR(VLOOKUP(O40,'AI(T-Shirt Sizing)'!$A$3:$B$9,2,FALSE()),0)</f>
        <v/>
      </c>
      <c r="Q40" s="88" t="n"/>
      <c r="R40" s="88" t="n"/>
      <c r="S40" s="88" t="n"/>
      <c r="T40" s="88" t="n"/>
      <c r="U40" s="88" t="n"/>
      <c r="V40" s="88" t="n"/>
    </row>
    <row r="41" ht="45" customHeight="1" s="54">
      <c r="A41" s="89" t="n"/>
      <c r="B41" s="89" t="n"/>
      <c r="C41" s="89" t="n"/>
      <c r="D41" s="89" t="n"/>
      <c r="E41" s="89" t="n"/>
      <c r="F41" s="89" t="n"/>
      <c r="G41" s="89" t="n"/>
      <c r="H41" s="89" t="n"/>
      <c r="I41" s="80" t="n"/>
      <c r="J41" s="81">
        <f>IFERROR(VLOOKUP(I41,'Design(T-Shirt Sizing)'!$A$3:$B$9,2,FALSE()),0)</f>
        <v/>
      </c>
      <c r="K41" s="82" t="n"/>
      <c r="L41" s="83">
        <f>IFERROR(VLOOKUP(K41,'FE(T-Shirt Sizing)'!$A$3:$B$9,2,FALSE()),0)</f>
        <v/>
      </c>
      <c r="M41" s="84" t="n"/>
      <c r="N41" s="85">
        <f>IFERROR(VLOOKUP(M41,'BE(T-Shirt Sizing)'!$A$3:$B$9,2,FALSE()),0)</f>
        <v/>
      </c>
      <c r="O41" s="86" t="n"/>
      <c r="P41" s="87">
        <f>IFERROR(VLOOKUP(O41,'AI(T-Shirt Sizing)'!$A$3:$B$9,2,FALSE()),0)</f>
        <v/>
      </c>
      <c r="Q41" s="88" t="n"/>
      <c r="R41" s="88" t="n"/>
      <c r="S41" s="88" t="n"/>
      <c r="T41" s="88" t="n"/>
      <c r="U41" s="88" t="n"/>
      <c r="V41" s="88" t="n"/>
    </row>
    <row r="42" ht="45" customHeight="1" s="54">
      <c r="A42" s="79" t="n"/>
      <c r="B42" s="79" t="n"/>
      <c r="C42" s="79" t="n"/>
      <c r="D42" s="79" t="n"/>
      <c r="E42" s="79" t="n"/>
      <c r="F42" s="79" t="n"/>
      <c r="G42" s="79" t="n"/>
      <c r="H42" s="79" t="n"/>
      <c r="I42" s="80" t="n"/>
      <c r="J42" s="81">
        <f>IFERROR(VLOOKUP(I42,'Design(T-Shirt Sizing)'!$A$3:$B$9,2,FALSE()),0)</f>
        <v/>
      </c>
      <c r="K42" s="82" t="n"/>
      <c r="L42" s="83">
        <f>IFERROR(VLOOKUP(K42,'FE(T-Shirt Sizing)'!$A$3:$B$9,2,FALSE()),0)</f>
        <v/>
      </c>
      <c r="M42" s="84" t="n"/>
      <c r="N42" s="85">
        <f>IFERROR(VLOOKUP(M42,'BE(T-Shirt Sizing)'!$A$3:$B$9,2,FALSE()),0)</f>
        <v/>
      </c>
      <c r="O42" s="86" t="n"/>
      <c r="P42" s="87">
        <f>IFERROR(VLOOKUP(O42,'AI(T-Shirt Sizing)'!$A$3:$B$9,2,FALSE()),0)</f>
        <v/>
      </c>
      <c r="Q42" s="88" t="n"/>
      <c r="R42" s="88" t="n"/>
      <c r="S42" s="88" t="n"/>
      <c r="T42" s="88" t="n"/>
      <c r="U42" s="88" t="n"/>
      <c r="V42" s="88" t="n"/>
    </row>
    <row r="43" ht="45" customHeight="1" s="54">
      <c r="A43" s="89" t="n"/>
      <c r="B43" s="89" t="n"/>
      <c r="C43" s="89" t="n"/>
      <c r="D43" s="89" t="n"/>
      <c r="E43" s="89" t="n"/>
      <c r="F43" s="89" t="n"/>
      <c r="G43" s="89" t="n"/>
      <c r="H43" s="89" t="n"/>
      <c r="I43" s="80" t="n"/>
      <c r="J43" s="81">
        <f>IFERROR(VLOOKUP(I43,'Design(T-Shirt Sizing)'!$A$3:$B$9,2,FALSE()),0)</f>
        <v/>
      </c>
      <c r="K43" s="82" t="n"/>
      <c r="L43" s="83">
        <f>IFERROR(VLOOKUP(K43,'FE(T-Shirt Sizing)'!$A$3:$B$9,2,FALSE()),0)</f>
        <v/>
      </c>
      <c r="M43" s="84" t="n"/>
      <c r="N43" s="85">
        <f>IFERROR(VLOOKUP(M43,'BE(T-Shirt Sizing)'!$A$3:$B$9,2,FALSE()),0)</f>
        <v/>
      </c>
      <c r="O43" s="86" t="n"/>
      <c r="P43" s="87">
        <f>IFERROR(VLOOKUP(O43,'AI(T-Shirt Sizing)'!$A$3:$B$9,2,FALSE()),0)</f>
        <v/>
      </c>
      <c r="Q43" s="88" t="n"/>
      <c r="R43" s="88" t="n"/>
      <c r="S43" s="88" t="n"/>
      <c r="T43" s="88" t="n"/>
      <c r="U43" s="88" t="n"/>
      <c r="V43" s="88" t="n"/>
    </row>
    <row r="44" ht="45" customHeight="1" s="54">
      <c r="A44" s="79" t="n"/>
      <c r="B44" s="79" t="n"/>
      <c r="C44" s="79" t="n"/>
      <c r="D44" s="79" t="n"/>
      <c r="E44" s="79" t="n"/>
      <c r="F44" s="79" t="n"/>
      <c r="G44" s="79" t="n"/>
      <c r="H44" s="79" t="n"/>
      <c r="I44" s="80" t="n"/>
      <c r="J44" s="81">
        <f>IFERROR(VLOOKUP(I44,'Design(T-Shirt Sizing)'!$A$3:$B$9,2,FALSE()),0)</f>
        <v/>
      </c>
      <c r="K44" s="82" t="n"/>
      <c r="L44" s="83">
        <f>IFERROR(VLOOKUP(K44,'FE(T-Shirt Sizing)'!$A$3:$B$9,2,FALSE()),0)</f>
        <v/>
      </c>
      <c r="M44" s="84" t="n"/>
      <c r="N44" s="85">
        <f>IFERROR(VLOOKUP(M44,'BE(T-Shirt Sizing)'!$A$3:$B$9,2,FALSE()),0)</f>
        <v/>
      </c>
      <c r="O44" s="86" t="n"/>
      <c r="P44" s="87">
        <f>IFERROR(VLOOKUP(O44,'AI(T-Shirt Sizing)'!$A$3:$B$9,2,FALSE()),0)</f>
        <v/>
      </c>
      <c r="Q44" s="88" t="n"/>
      <c r="R44" s="88" t="n"/>
      <c r="S44" s="88" t="n"/>
      <c r="T44" s="88" t="n"/>
      <c r="U44" s="88" t="n"/>
      <c r="V44" s="88" t="n"/>
    </row>
    <row r="45" ht="45" customHeight="1" s="54">
      <c r="A45" s="89" t="n"/>
      <c r="B45" s="89" t="n"/>
      <c r="C45" s="89" t="n"/>
      <c r="D45" s="89" t="n"/>
      <c r="E45" s="89" t="n"/>
      <c r="F45" s="89" t="n"/>
      <c r="G45" s="89" t="n"/>
      <c r="H45" s="89" t="n"/>
      <c r="I45" s="80" t="n"/>
      <c r="J45" s="81">
        <f>IFERROR(VLOOKUP(I45,'Design(T-Shirt Sizing)'!$A$3:$B$9,2,FALSE()),0)</f>
        <v/>
      </c>
      <c r="K45" s="82" t="n"/>
      <c r="L45" s="83">
        <f>IFERROR(VLOOKUP(K45,'FE(T-Shirt Sizing)'!$A$3:$B$9,2,FALSE()),0)</f>
        <v/>
      </c>
      <c r="M45" s="84" t="n"/>
      <c r="N45" s="85">
        <f>IFERROR(VLOOKUP(M45,'BE(T-Shirt Sizing)'!$A$3:$B$9,2,FALSE()),0)</f>
        <v/>
      </c>
      <c r="O45" s="86" t="n"/>
      <c r="P45" s="87">
        <f>IFERROR(VLOOKUP(O45,'AI(T-Shirt Sizing)'!$A$3:$B$9,2,FALSE()),0)</f>
        <v/>
      </c>
      <c r="Q45" s="88" t="n"/>
      <c r="R45" s="88" t="n"/>
      <c r="S45" s="88" t="n"/>
      <c r="T45" s="88" t="n"/>
      <c r="U45" s="88" t="n"/>
      <c r="V45" s="88" t="n"/>
    </row>
    <row r="46" ht="45" customHeight="1" s="54">
      <c r="A46" s="79" t="n"/>
      <c r="B46" s="79" t="n"/>
      <c r="C46" s="79" t="n"/>
      <c r="D46" s="79" t="n"/>
      <c r="E46" s="79" t="n"/>
      <c r="F46" s="79" t="n"/>
      <c r="G46" s="79" t="n"/>
      <c r="H46" s="79" t="n"/>
      <c r="I46" s="80" t="n"/>
      <c r="J46" s="81">
        <f>IFERROR(VLOOKUP(I46,'Design(T-Shirt Sizing)'!$A$3:$B$9,2,FALSE()),0)</f>
        <v/>
      </c>
      <c r="K46" s="82" t="n"/>
      <c r="L46" s="83">
        <f>IFERROR(VLOOKUP(K46,'FE(T-Shirt Sizing)'!$A$3:$B$9,2,FALSE()),0)</f>
        <v/>
      </c>
      <c r="M46" s="84" t="n"/>
      <c r="N46" s="85">
        <f>IFERROR(VLOOKUP(M46,'BE(T-Shirt Sizing)'!$A$3:$B$9,2,FALSE()),0)</f>
        <v/>
      </c>
      <c r="O46" s="86" t="n"/>
      <c r="P46" s="87">
        <f>IFERROR(VLOOKUP(O46,'AI(T-Shirt Sizing)'!$A$3:$B$9,2,FALSE()),0)</f>
        <v/>
      </c>
      <c r="Q46" s="88" t="n"/>
      <c r="R46" s="88" t="n"/>
      <c r="S46" s="88" t="n"/>
      <c r="T46" s="88" t="n"/>
      <c r="U46" s="88" t="n"/>
      <c r="V46" s="88" t="n"/>
    </row>
    <row r="47" ht="45" customHeight="1" s="54">
      <c r="A47" s="89" t="n"/>
      <c r="B47" s="89" t="n"/>
      <c r="C47" s="89" t="n"/>
      <c r="D47" s="89" t="n"/>
      <c r="E47" s="89" t="n"/>
      <c r="F47" s="89" t="n"/>
      <c r="G47" s="89" t="n"/>
      <c r="H47" s="89" t="n"/>
      <c r="I47" s="80" t="n"/>
      <c r="J47" s="81">
        <f>IFERROR(VLOOKUP(I47,'Design(T-Shirt Sizing)'!$A$3:$B$9,2,FALSE()),0)</f>
        <v/>
      </c>
      <c r="K47" s="82" t="n"/>
      <c r="L47" s="83">
        <f>IFERROR(VLOOKUP(K47,'FE(T-Shirt Sizing)'!$A$3:$B$9,2,FALSE()),0)</f>
        <v/>
      </c>
      <c r="M47" s="84" t="n"/>
      <c r="N47" s="85">
        <f>IFERROR(VLOOKUP(M47,'BE(T-Shirt Sizing)'!$A$3:$B$9,2,FALSE()),0)</f>
        <v/>
      </c>
      <c r="O47" s="86" t="n"/>
      <c r="P47" s="87">
        <f>IFERROR(VLOOKUP(O47,'AI(T-Shirt Sizing)'!$A$3:$B$9,2,FALSE()),0)</f>
        <v/>
      </c>
      <c r="Q47" s="88" t="n"/>
      <c r="R47" s="88" t="n"/>
      <c r="S47" s="88" t="n"/>
      <c r="T47" s="88" t="n"/>
      <c r="U47" s="88" t="n"/>
      <c r="V47" s="88" t="n"/>
    </row>
    <row r="48" ht="45" customHeight="1" s="54">
      <c r="A48" s="79" t="n"/>
      <c r="B48" s="79" t="n"/>
      <c r="C48" s="79" t="n"/>
      <c r="D48" s="79" t="n"/>
      <c r="E48" s="79" t="n"/>
      <c r="F48" s="79" t="n"/>
      <c r="G48" s="79" t="n"/>
      <c r="H48" s="79" t="n"/>
      <c r="I48" s="80" t="n"/>
      <c r="J48" s="81">
        <f>IFERROR(VLOOKUP(I48,'Design(T-Shirt Sizing)'!$A$3:$B$9,2,FALSE()),0)</f>
        <v/>
      </c>
      <c r="K48" s="82" t="n"/>
      <c r="L48" s="83">
        <f>IFERROR(VLOOKUP(K48,'FE(T-Shirt Sizing)'!$A$3:$B$9,2,FALSE()),0)</f>
        <v/>
      </c>
      <c r="M48" s="84" t="n"/>
      <c r="N48" s="85">
        <f>IFERROR(VLOOKUP(M48,'BE(T-Shirt Sizing)'!$A$3:$B$9,2,FALSE()),0)</f>
        <v/>
      </c>
      <c r="O48" s="86" t="n"/>
      <c r="P48" s="87">
        <f>IFERROR(VLOOKUP(O48,'AI(T-Shirt Sizing)'!$A$3:$B$9,2,FALSE()),0)</f>
        <v/>
      </c>
      <c r="Q48" s="88" t="n"/>
      <c r="R48" s="88" t="n"/>
      <c r="S48" s="88" t="n"/>
      <c r="T48" s="88" t="n"/>
      <c r="U48" s="88" t="n"/>
      <c r="V48" s="88" t="n"/>
    </row>
    <row r="49" ht="45" customHeight="1" s="54">
      <c r="A49" s="89" t="n"/>
      <c r="B49" s="89" t="n"/>
      <c r="C49" s="89" t="n"/>
      <c r="D49" s="89" t="n"/>
      <c r="E49" s="89" t="n"/>
      <c r="F49" s="89" t="n"/>
      <c r="G49" s="89" t="n"/>
      <c r="H49" s="89" t="n"/>
      <c r="I49" s="80" t="n"/>
      <c r="J49" s="81">
        <f>IFERROR(VLOOKUP(I49,'Design(T-Shirt Sizing)'!$A$3:$B$9,2,FALSE()),0)</f>
        <v/>
      </c>
      <c r="K49" s="82" t="n"/>
      <c r="L49" s="83">
        <f>IFERROR(VLOOKUP(K49,'FE(T-Shirt Sizing)'!$A$3:$B$9,2,FALSE()),0)</f>
        <v/>
      </c>
      <c r="M49" s="84" t="n"/>
      <c r="N49" s="85">
        <f>IFERROR(VLOOKUP(M49,'BE(T-Shirt Sizing)'!$A$3:$B$9,2,FALSE()),0)</f>
        <v/>
      </c>
      <c r="O49" s="86" t="n"/>
      <c r="P49" s="87">
        <f>IFERROR(VLOOKUP(O49,'AI(T-Shirt Sizing)'!$A$3:$B$9,2,FALSE()),0)</f>
        <v/>
      </c>
      <c r="Q49" s="88" t="n"/>
      <c r="R49" s="88" t="n"/>
      <c r="S49" s="88" t="n"/>
      <c r="T49" s="88" t="n"/>
      <c r="U49" s="88" t="n"/>
      <c r="V49" s="88" t="n"/>
    </row>
    <row r="50" ht="45" customHeight="1" s="54">
      <c r="A50" s="79" t="n"/>
      <c r="B50" s="79" t="n"/>
      <c r="C50" s="79" t="n"/>
      <c r="D50" s="79" t="n"/>
      <c r="E50" s="79" t="n"/>
      <c r="F50" s="79" t="n"/>
      <c r="G50" s="79" t="n"/>
      <c r="H50" s="79" t="n"/>
      <c r="I50" s="80" t="n"/>
      <c r="J50" s="81">
        <f>IFERROR(VLOOKUP(I50,'Design(T-Shirt Sizing)'!$A$3:$B$9,2,FALSE()),0)</f>
        <v/>
      </c>
      <c r="K50" s="82" t="n"/>
      <c r="L50" s="83">
        <f>IFERROR(VLOOKUP(K50,'FE(T-Shirt Sizing)'!$A$3:$B$9,2,FALSE()),0)</f>
        <v/>
      </c>
      <c r="M50" s="84" t="n"/>
      <c r="N50" s="85">
        <f>IFERROR(VLOOKUP(M50,'BE(T-Shirt Sizing)'!$A$3:$B$9,2,FALSE()),0)</f>
        <v/>
      </c>
      <c r="O50" s="86" t="n"/>
      <c r="P50" s="87">
        <f>IFERROR(VLOOKUP(O50,'AI(T-Shirt Sizing)'!$A$3:$B$9,2,FALSE()),0)</f>
        <v/>
      </c>
      <c r="Q50" s="88" t="n"/>
      <c r="R50" s="88" t="n"/>
      <c r="S50" s="88" t="n"/>
      <c r="T50" s="88" t="n"/>
      <c r="U50" s="88" t="n"/>
      <c r="V50" s="88" t="n"/>
    </row>
    <row r="51" ht="45" customHeight="1" s="54">
      <c r="A51" s="89" t="n"/>
      <c r="B51" s="89" t="n"/>
      <c r="C51" s="89" t="n"/>
      <c r="D51" s="89" t="n"/>
      <c r="E51" s="89" t="n"/>
      <c r="F51" s="89" t="n"/>
      <c r="G51" s="89" t="n"/>
      <c r="H51" s="89" t="n"/>
      <c r="I51" s="80" t="n"/>
      <c r="J51" s="81">
        <f>IFERROR(VLOOKUP(I51,'Design(T-Shirt Sizing)'!$A$3:$B$9,2,FALSE()),0)</f>
        <v/>
      </c>
      <c r="K51" s="82" t="n"/>
      <c r="L51" s="83">
        <f>IFERROR(VLOOKUP(K51,'FE(T-Shirt Sizing)'!$A$3:$B$9,2,FALSE()),0)</f>
        <v/>
      </c>
      <c r="M51" s="84" t="n"/>
      <c r="N51" s="85">
        <f>IFERROR(VLOOKUP(M51,'BE(T-Shirt Sizing)'!$A$3:$B$9,2,FALSE()),0)</f>
        <v/>
      </c>
      <c r="O51" s="86" t="n"/>
      <c r="P51" s="87">
        <f>IFERROR(VLOOKUP(O51,'AI(T-Shirt Sizing)'!$A$3:$B$9,2,FALSE()),0)</f>
        <v/>
      </c>
      <c r="Q51" s="88" t="n"/>
      <c r="R51" s="88" t="n"/>
      <c r="S51" s="88" t="n"/>
      <c r="T51" s="88" t="n"/>
      <c r="U51" s="88" t="n"/>
      <c r="V51" s="88" t="n"/>
    </row>
    <row r="52" ht="45" customHeight="1" s="54">
      <c r="A52" s="79" t="n"/>
      <c r="B52" s="79" t="n"/>
      <c r="C52" s="79" t="n"/>
      <c r="D52" s="79" t="n"/>
      <c r="E52" s="79" t="n"/>
      <c r="F52" s="79" t="n"/>
      <c r="G52" s="79" t="n"/>
      <c r="H52" s="79" t="n"/>
      <c r="I52" s="80" t="n"/>
      <c r="J52" s="81">
        <f>IFERROR(VLOOKUP(I52,'Design(T-Shirt Sizing)'!$A$3:$B$9,2,FALSE()),0)</f>
        <v/>
      </c>
      <c r="K52" s="82" t="n"/>
      <c r="L52" s="83">
        <f>IFERROR(VLOOKUP(K52,'FE(T-Shirt Sizing)'!$A$3:$B$9,2,FALSE()),0)</f>
        <v/>
      </c>
      <c r="M52" s="84" t="n"/>
      <c r="N52" s="85">
        <f>IFERROR(VLOOKUP(M52,'BE(T-Shirt Sizing)'!$A$3:$B$9,2,FALSE()),0)</f>
        <v/>
      </c>
      <c r="O52" s="86" t="n"/>
      <c r="P52" s="87">
        <f>IFERROR(VLOOKUP(O52,'AI(T-Shirt Sizing)'!$A$3:$B$9,2,FALSE()),0)</f>
        <v/>
      </c>
      <c r="Q52" s="88" t="n"/>
      <c r="R52" s="88" t="n"/>
      <c r="S52" s="88" t="n"/>
      <c r="T52" s="88" t="n"/>
      <c r="U52" s="88" t="n"/>
      <c r="V52" s="88" t="n"/>
    </row>
    <row r="53" ht="45" customHeight="1" s="54">
      <c r="A53" s="89" t="n"/>
      <c r="B53" s="89" t="n"/>
      <c r="C53" s="89" t="n"/>
      <c r="D53" s="89" t="n"/>
      <c r="E53" s="89" t="n"/>
      <c r="F53" s="89" t="n"/>
      <c r="G53" s="89" t="n"/>
      <c r="H53" s="89" t="n"/>
      <c r="I53" s="80" t="n"/>
      <c r="J53" s="81">
        <f>IFERROR(VLOOKUP(I53,'Design(T-Shirt Sizing)'!$A$3:$B$9,2,FALSE()),0)</f>
        <v/>
      </c>
      <c r="K53" s="82" t="n"/>
      <c r="L53" s="83">
        <f>IFERROR(VLOOKUP(K53,'FE(T-Shirt Sizing)'!$A$3:$B$9,2,FALSE()),0)</f>
        <v/>
      </c>
      <c r="M53" s="84" t="n"/>
      <c r="N53" s="85">
        <f>IFERROR(VLOOKUP(M53,'BE(T-Shirt Sizing)'!$A$3:$B$9,2,FALSE()),0)</f>
        <v/>
      </c>
      <c r="O53" s="86" t="n"/>
      <c r="P53" s="87">
        <f>IFERROR(VLOOKUP(O53,'AI(T-Shirt Sizing)'!$A$3:$B$9,2,FALSE()),0)</f>
        <v/>
      </c>
      <c r="Q53" s="88" t="n"/>
      <c r="R53" s="88" t="n"/>
      <c r="S53" s="88" t="n"/>
      <c r="T53" s="88" t="n"/>
      <c r="U53" s="88" t="n"/>
      <c r="V53" s="88" t="n"/>
    </row>
    <row r="54" ht="45" customHeight="1" s="54">
      <c r="A54" s="79" t="n"/>
      <c r="B54" s="79" t="n"/>
      <c r="C54" s="79" t="n"/>
      <c r="D54" s="79" t="n"/>
      <c r="E54" s="79" t="n"/>
      <c r="F54" s="79" t="n"/>
      <c r="G54" s="79" t="n"/>
      <c r="H54" s="79" t="n"/>
      <c r="I54" s="80" t="n"/>
      <c r="J54" s="81">
        <f>IFERROR(VLOOKUP(I54,'Design(T-Shirt Sizing)'!$A$3:$B$9,2,FALSE()),0)</f>
        <v/>
      </c>
      <c r="K54" s="82" t="n"/>
      <c r="L54" s="83">
        <f>IFERROR(VLOOKUP(K54,'FE(T-Shirt Sizing)'!$A$3:$B$9,2,FALSE()),0)</f>
        <v/>
      </c>
      <c r="M54" s="84" t="n"/>
      <c r="N54" s="85">
        <f>IFERROR(VLOOKUP(M54,'BE(T-Shirt Sizing)'!$A$3:$B$9,2,FALSE()),0)</f>
        <v/>
      </c>
      <c r="O54" s="86" t="n"/>
      <c r="P54" s="87">
        <f>IFERROR(VLOOKUP(O54,'AI(T-Shirt Sizing)'!$A$3:$B$9,2,FALSE()),0)</f>
        <v/>
      </c>
      <c r="Q54" s="88" t="n"/>
      <c r="R54" s="88" t="n"/>
      <c r="S54" s="88" t="n"/>
      <c r="T54" s="88" t="n"/>
      <c r="U54" s="88" t="n"/>
      <c r="V54" s="88" t="n"/>
    </row>
    <row r="55" ht="45" customHeight="1" s="54">
      <c r="A55" s="89" t="n"/>
      <c r="B55" s="89" t="n"/>
      <c r="C55" s="89" t="n"/>
      <c r="D55" s="89" t="n"/>
      <c r="E55" s="89" t="n"/>
      <c r="F55" s="89" t="n"/>
      <c r="G55" s="89" t="n"/>
      <c r="H55" s="89" t="n"/>
      <c r="I55" s="80" t="n"/>
      <c r="J55" s="81">
        <f>IFERROR(VLOOKUP(I55,'Design(T-Shirt Sizing)'!$A$3:$B$9,2,FALSE()),0)</f>
        <v/>
      </c>
      <c r="K55" s="82" t="n"/>
      <c r="L55" s="83">
        <f>IFERROR(VLOOKUP(K55,'FE(T-Shirt Sizing)'!$A$3:$B$9,2,FALSE()),0)</f>
        <v/>
      </c>
      <c r="M55" s="84" t="n"/>
      <c r="N55" s="85">
        <f>IFERROR(VLOOKUP(M55,'BE(T-Shirt Sizing)'!$A$3:$B$9,2,FALSE()),0)</f>
        <v/>
      </c>
      <c r="O55" s="86" t="n"/>
      <c r="P55" s="87">
        <f>IFERROR(VLOOKUP(O55,'AI(T-Shirt Sizing)'!$A$3:$B$9,2,FALSE()),0)</f>
        <v/>
      </c>
      <c r="Q55" s="88" t="n"/>
      <c r="R55" s="88" t="n"/>
      <c r="S55" s="88" t="n"/>
      <c r="T55" s="88" t="n"/>
      <c r="U55" s="88" t="n"/>
      <c r="V55" s="88" t="n"/>
    </row>
    <row r="56" ht="45" customHeight="1" s="54">
      <c r="A56" s="79" t="n"/>
      <c r="B56" s="79" t="n"/>
      <c r="C56" s="79" t="n"/>
      <c r="D56" s="79" t="n"/>
      <c r="E56" s="79" t="n"/>
      <c r="F56" s="79" t="n"/>
      <c r="G56" s="79" t="n"/>
      <c r="H56" s="79" t="n"/>
      <c r="I56" s="80" t="n"/>
      <c r="J56" s="81">
        <f>IFERROR(VLOOKUP(I56,'Design(T-Shirt Sizing)'!$A$3:$B$9,2,FALSE()),0)</f>
        <v/>
      </c>
      <c r="K56" s="82" t="n"/>
      <c r="L56" s="83">
        <f>IFERROR(VLOOKUP(K56,'FE(T-Shirt Sizing)'!$A$3:$B$9,2,FALSE()),0)</f>
        <v/>
      </c>
      <c r="M56" s="84" t="n"/>
      <c r="N56" s="85">
        <f>IFERROR(VLOOKUP(M56,'BE(T-Shirt Sizing)'!$A$3:$B$9,2,FALSE()),0)</f>
        <v/>
      </c>
      <c r="O56" s="86" t="n"/>
      <c r="P56" s="87">
        <f>IFERROR(VLOOKUP(O56,'AI(T-Shirt Sizing)'!$A$3:$B$9,2,FALSE()),0)</f>
        <v/>
      </c>
      <c r="Q56" s="88" t="n"/>
      <c r="R56" s="88" t="n"/>
      <c r="S56" s="88" t="n"/>
      <c r="T56" s="88" t="n"/>
      <c r="U56" s="88" t="n"/>
      <c r="V56" s="88" t="n"/>
    </row>
    <row r="57" ht="45" customHeight="1" s="54">
      <c r="A57" s="89" t="n"/>
      <c r="B57" s="89" t="n"/>
      <c r="C57" s="89" t="n"/>
      <c r="D57" s="89" t="n"/>
      <c r="E57" s="89" t="n"/>
      <c r="F57" s="89" t="n"/>
      <c r="G57" s="89" t="n"/>
      <c r="H57" s="89" t="n"/>
      <c r="I57" s="80" t="n"/>
      <c r="J57" s="81">
        <f>IFERROR(VLOOKUP(I57,'Design(T-Shirt Sizing)'!$A$3:$B$9,2,FALSE()),0)</f>
        <v/>
      </c>
      <c r="K57" s="82" t="n"/>
      <c r="L57" s="83">
        <f>IFERROR(VLOOKUP(K57,'FE(T-Shirt Sizing)'!$A$3:$B$9,2,FALSE()),0)</f>
        <v/>
      </c>
      <c r="M57" s="84" t="n"/>
      <c r="N57" s="85">
        <f>IFERROR(VLOOKUP(M57,'BE(T-Shirt Sizing)'!$A$3:$B$9,2,FALSE()),0)</f>
        <v/>
      </c>
      <c r="O57" s="86" t="n"/>
      <c r="P57" s="87">
        <f>IFERROR(VLOOKUP(O57,'AI(T-Shirt Sizing)'!$A$3:$B$9,2,FALSE()),0)</f>
        <v/>
      </c>
      <c r="Q57" s="88" t="n"/>
      <c r="R57" s="88" t="n"/>
      <c r="S57" s="88" t="n"/>
      <c r="T57" s="88" t="n"/>
      <c r="U57" s="88" t="n"/>
      <c r="V57" s="88" t="n"/>
    </row>
    <row r="58" ht="45" customHeight="1" s="54">
      <c r="A58" s="79" t="n"/>
      <c r="B58" s="79" t="n"/>
      <c r="C58" s="79" t="n"/>
      <c r="D58" s="79" t="n"/>
      <c r="E58" s="79" t="n"/>
      <c r="F58" s="79" t="n"/>
      <c r="G58" s="79" t="n"/>
      <c r="H58" s="79" t="n"/>
      <c r="I58" s="80" t="n"/>
      <c r="J58" s="81">
        <f>IFERROR(VLOOKUP(I58,'Design(T-Shirt Sizing)'!$A$3:$B$9,2,FALSE()),0)</f>
        <v/>
      </c>
      <c r="K58" s="82" t="n"/>
      <c r="L58" s="83">
        <f>IFERROR(VLOOKUP(K58,'FE(T-Shirt Sizing)'!$A$3:$B$9,2,FALSE()),0)</f>
        <v/>
      </c>
      <c r="M58" s="84" t="n"/>
      <c r="N58" s="85">
        <f>IFERROR(VLOOKUP(M58,'BE(T-Shirt Sizing)'!$A$3:$B$9,2,FALSE()),0)</f>
        <v/>
      </c>
      <c r="O58" s="86" t="n"/>
      <c r="P58" s="87">
        <f>IFERROR(VLOOKUP(O58,'AI(T-Shirt Sizing)'!$A$3:$B$9,2,FALSE()),0)</f>
        <v/>
      </c>
      <c r="Q58" s="88" t="n"/>
      <c r="R58" s="88" t="n"/>
      <c r="S58" s="88" t="n"/>
      <c r="T58" s="88" t="n"/>
      <c r="U58" s="88" t="n"/>
      <c r="V58" s="88" t="n"/>
    </row>
    <row r="59" ht="45" customHeight="1" s="54">
      <c r="A59" s="89" t="n"/>
      <c r="B59" s="89" t="n"/>
      <c r="C59" s="89" t="n"/>
      <c r="D59" s="89" t="n"/>
      <c r="E59" s="89" t="n"/>
      <c r="F59" s="89" t="n"/>
      <c r="G59" s="89" t="n"/>
      <c r="H59" s="89" t="n"/>
      <c r="I59" s="80" t="n"/>
      <c r="J59" s="81">
        <f>IFERROR(VLOOKUP(I59,'Design(T-Shirt Sizing)'!$A$3:$B$9,2,FALSE()),0)</f>
        <v/>
      </c>
      <c r="K59" s="82" t="n"/>
      <c r="L59" s="83">
        <f>IFERROR(VLOOKUP(K59,'FE(T-Shirt Sizing)'!$A$3:$B$9,2,FALSE()),0)</f>
        <v/>
      </c>
      <c r="M59" s="84" t="n"/>
      <c r="N59" s="85">
        <f>IFERROR(VLOOKUP(M59,'BE(T-Shirt Sizing)'!$A$3:$B$9,2,FALSE()),0)</f>
        <v/>
      </c>
      <c r="O59" s="86" t="n"/>
      <c r="P59" s="87">
        <f>IFERROR(VLOOKUP(O59,'AI(T-Shirt Sizing)'!$A$3:$B$9,2,FALSE()),0)</f>
        <v/>
      </c>
      <c r="Q59" s="88" t="n"/>
      <c r="R59" s="88" t="n"/>
      <c r="S59" s="88" t="n"/>
      <c r="T59" s="88" t="n"/>
      <c r="U59" s="88" t="n"/>
      <c r="V59" s="88" t="n"/>
    </row>
    <row r="60" ht="45" customHeight="1" s="54">
      <c r="A60" s="79" t="n"/>
      <c r="B60" s="79" t="n"/>
      <c r="C60" s="79" t="n"/>
      <c r="D60" s="79" t="n"/>
      <c r="E60" s="79" t="n"/>
      <c r="F60" s="79" t="n"/>
      <c r="G60" s="79" t="n"/>
      <c r="H60" s="79" t="n"/>
      <c r="I60" s="80" t="n"/>
      <c r="J60" s="81">
        <f>IFERROR(VLOOKUP(I60,'Design(T-Shirt Sizing)'!$A$3:$B$9,2,FALSE()),0)</f>
        <v/>
      </c>
      <c r="K60" s="82" t="n"/>
      <c r="L60" s="83">
        <f>IFERROR(VLOOKUP(K60,'FE(T-Shirt Sizing)'!$A$3:$B$9,2,FALSE()),0)</f>
        <v/>
      </c>
      <c r="M60" s="84" t="n"/>
      <c r="N60" s="85">
        <f>IFERROR(VLOOKUP(M60,'BE(T-Shirt Sizing)'!$A$3:$B$9,2,FALSE()),0)</f>
        <v/>
      </c>
      <c r="O60" s="86" t="n"/>
      <c r="P60" s="87">
        <f>IFERROR(VLOOKUP(O60,'AI(T-Shirt Sizing)'!$A$3:$B$9,2,FALSE()),0)</f>
        <v/>
      </c>
      <c r="Q60" s="88" t="n"/>
      <c r="R60" s="88" t="n"/>
      <c r="S60" s="88" t="n"/>
      <c r="T60" s="88" t="n"/>
      <c r="U60" s="88" t="n"/>
      <c r="V60" s="88" t="n"/>
    </row>
    <row r="61" ht="45" customHeight="1" s="54">
      <c r="A61" s="89" t="n"/>
      <c r="B61" s="89" t="n"/>
      <c r="C61" s="89" t="n"/>
      <c r="D61" s="89" t="n"/>
      <c r="E61" s="89" t="n"/>
      <c r="F61" s="89" t="n"/>
      <c r="G61" s="89" t="n"/>
      <c r="H61" s="89" t="n"/>
      <c r="I61" s="80" t="n"/>
      <c r="J61" s="81">
        <f>IFERROR(VLOOKUP(I61,'Design(T-Shirt Sizing)'!$A$3:$B$9,2,FALSE()),0)</f>
        <v/>
      </c>
      <c r="K61" s="82" t="n"/>
      <c r="L61" s="83">
        <f>IFERROR(VLOOKUP(K61,'FE(T-Shirt Sizing)'!$A$3:$B$9,2,FALSE()),0)</f>
        <v/>
      </c>
      <c r="M61" s="84" t="n"/>
      <c r="N61" s="85">
        <f>IFERROR(VLOOKUP(M61,'BE(T-Shirt Sizing)'!$A$3:$B$9,2,FALSE()),0)</f>
        <v/>
      </c>
      <c r="O61" s="86" t="n"/>
      <c r="P61" s="87">
        <f>IFERROR(VLOOKUP(O61,'AI(T-Shirt Sizing)'!$A$3:$B$9,2,FALSE()),0)</f>
        <v/>
      </c>
      <c r="Q61" s="88" t="n"/>
      <c r="R61" s="88" t="n"/>
      <c r="S61" s="88" t="n"/>
      <c r="T61" s="88" t="n"/>
      <c r="U61" s="88" t="n"/>
      <c r="V61" s="88" t="n"/>
    </row>
    <row r="62" ht="45" customHeight="1" s="54">
      <c r="A62" s="79" t="n"/>
      <c r="B62" s="79" t="n"/>
      <c r="C62" s="79" t="n"/>
      <c r="D62" s="79" t="n"/>
      <c r="E62" s="79" t="n"/>
      <c r="F62" s="79" t="n"/>
      <c r="G62" s="79" t="n"/>
      <c r="H62" s="79" t="n"/>
      <c r="I62" s="80" t="n"/>
      <c r="J62" s="81">
        <f>IFERROR(VLOOKUP(I62,'Design(T-Shirt Sizing)'!$A$3:$B$9,2,FALSE()),0)</f>
        <v/>
      </c>
      <c r="K62" s="82" t="n"/>
      <c r="L62" s="83">
        <f>IFERROR(VLOOKUP(K62,'FE(T-Shirt Sizing)'!$A$3:$B$9,2,FALSE()),0)</f>
        <v/>
      </c>
      <c r="M62" s="84" t="n"/>
      <c r="N62" s="85">
        <f>IFERROR(VLOOKUP(M62,'BE(T-Shirt Sizing)'!$A$3:$B$9,2,FALSE()),0)</f>
        <v/>
      </c>
      <c r="O62" s="86" t="n"/>
      <c r="P62" s="87">
        <f>IFERROR(VLOOKUP(O62,'AI(T-Shirt Sizing)'!$A$3:$B$9,2,FALSE()),0)</f>
        <v/>
      </c>
      <c r="Q62" s="88" t="n"/>
      <c r="R62" s="88" t="n"/>
      <c r="S62" s="88" t="n"/>
      <c r="T62" s="88" t="n"/>
      <c r="U62" s="88" t="n"/>
      <c r="V62" s="88" t="n"/>
    </row>
    <row r="63" ht="45" customHeight="1" s="54">
      <c r="A63" s="89" t="n"/>
      <c r="B63" s="89" t="n"/>
      <c r="C63" s="89" t="n"/>
      <c r="D63" s="89" t="n"/>
      <c r="E63" s="89" t="n"/>
      <c r="F63" s="89" t="n"/>
      <c r="G63" s="89" t="n"/>
      <c r="H63" s="89" t="n"/>
      <c r="I63" s="80" t="n"/>
      <c r="J63" s="81">
        <f>IFERROR(VLOOKUP(I63,'Design(T-Shirt Sizing)'!$A$3:$B$9,2,FALSE()),0)</f>
        <v/>
      </c>
      <c r="K63" s="82" t="n"/>
      <c r="L63" s="83">
        <f>IFERROR(VLOOKUP(K63,'FE(T-Shirt Sizing)'!$A$3:$B$9,2,FALSE()),0)</f>
        <v/>
      </c>
      <c r="M63" s="84" t="n"/>
      <c r="N63" s="85">
        <f>IFERROR(VLOOKUP(M63,'BE(T-Shirt Sizing)'!$A$3:$B$9,2,FALSE()),0)</f>
        <v/>
      </c>
      <c r="O63" s="86" t="n"/>
      <c r="P63" s="87">
        <f>IFERROR(VLOOKUP(O63,'AI(T-Shirt Sizing)'!$A$3:$B$9,2,FALSE()),0)</f>
        <v/>
      </c>
      <c r="Q63" s="88" t="n"/>
      <c r="R63" s="88" t="n"/>
      <c r="S63" s="88" t="n"/>
      <c r="T63" s="88" t="n"/>
      <c r="U63" s="88" t="n"/>
      <c r="V63" s="88" t="n"/>
    </row>
    <row r="64" ht="45" customHeight="1" s="54">
      <c r="A64" s="79" t="n"/>
      <c r="B64" s="79" t="n"/>
      <c r="C64" s="79" t="n"/>
      <c r="D64" s="79" t="n"/>
      <c r="E64" s="79" t="n"/>
      <c r="F64" s="79" t="n"/>
      <c r="G64" s="79" t="n"/>
      <c r="H64" s="79" t="n"/>
      <c r="I64" s="80" t="n"/>
      <c r="J64" s="81">
        <f>IFERROR(VLOOKUP(I64,'Design(T-Shirt Sizing)'!$A$3:$B$9,2,FALSE()),0)</f>
        <v/>
      </c>
      <c r="K64" s="82" t="n"/>
      <c r="L64" s="83">
        <f>IFERROR(VLOOKUP(K64,'FE(T-Shirt Sizing)'!$A$3:$B$9,2,FALSE()),0)</f>
        <v/>
      </c>
      <c r="M64" s="84" t="n"/>
      <c r="N64" s="85">
        <f>IFERROR(VLOOKUP(M64,'BE(T-Shirt Sizing)'!$A$3:$B$9,2,FALSE()),0)</f>
        <v/>
      </c>
      <c r="O64" s="86" t="n"/>
      <c r="P64" s="87">
        <f>IFERROR(VLOOKUP(O64,'AI(T-Shirt Sizing)'!$A$3:$B$9,2,FALSE()),0)</f>
        <v/>
      </c>
      <c r="Q64" s="88" t="n"/>
      <c r="R64" s="88" t="n"/>
      <c r="S64" s="88" t="n"/>
      <c r="T64" s="88" t="n"/>
      <c r="U64" s="88" t="n"/>
      <c r="V64" s="88" t="n"/>
    </row>
    <row r="65" ht="45" customHeight="1" s="54">
      <c r="A65" s="89" t="n"/>
      <c r="B65" s="89" t="n"/>
      <c r="C65" s="89" t="n"/>
      <c r="D65" s="89" t="n"/>
      <c r="E65" s="89" t="n"/>
      <c r="F65" s="89" t="n"/>
      <c r="G65" s="89" t="n"/>
      <c r="H65" s="89" t="n"/>
      <c r="I65" s="80" t="n"/>
      <c r="J65" s="81">
        <f>IFERROR(VLOOKUP(I65,'Design(T-Shirt Sizing)'!$A$3:$B$9,2,FALSE()),0)</f>
        <v/>
      </c>
      <c r="K65" s="82" t="n"/>
      <c r="L65" s="83">
        <f>IFERROR(VLOOKUP(K65,'FE(T-Shirt Sizing)'!$A$3:$B$9,2,FALSE()),0)</f>
        <v/>
      </c>
      <c r="M65" s="84" t="n"/>
      <c r="N65" s="85">
        <f>IFERROR(VLOOKUP(M65,'BE(T-Shirt Sizing)'!$A$3:$B$9,2,FALSE()),0)</f>
        <v/>
      </c>
      <c r="O65" s="86" t="n"/>
      <c r="P65" s="87">
        <f>IFERROR(VLOOKUP(O65,'AI(T-Shirt Sizing)'!$A$3:$B$9,2,FALSE()),0)</f>
        <v/>
      </c>
      <c r="Q65" s="88" t="n"/>
      <c r="R65" s="88" t="n"/>
      <c r="S65" s="88" t="n"/>
      <c r="T65" s="88" t="n"/>
      <c r="U65" s="88" t="n"/>
      <c r="V65" s="88" t="n"/>
    </row>
    <row r="66" ht="45" customHeight="1" s="54">
      <c r="A66" s="79" t="n"/>
      <c r="B66" s="79" t="n"/>
      <c r="C66" s="79" t="n"/>
      <c r="D66" s="79" t="n"/>
      <c r="E66" s="79" t="n"/>
      <c r="F66" s="79" t="n"/>
      <c r="G66" s="79" t="n"/>
      <c r="H66" s="79" t="n"/>
      <c r="I66" s="80" t="n"/>
      <c r="J66" s="81">
        <f>IFERROR(VLOOKUP(I66,'Design(T-Shirt Sizing)'!$A$3:$B$9,2,FALSE()),0)</f>
        <v/>
      </c>
      <c r="K66" s="82" t="n"/>
      <c r="L66" s="83">
        <f>IFERROR(VLOOKUP(K66,'FE(T-Shirt Sizing)'!$A$3:$B$9,2,FALSE()),0)</f>
        <v/>
      </c>
      <c r="M66" s="84" t="n"/>
      <c r="N66" s="85">
        <f>IFERROR(VLOOKUP(M66,'BE(T-Shirt Sizing)'!$A$3:$B$9,2,FALSE()),0)</f>
        <v/>
      </c>
      <c r="O66" s="86" t="n"/>
      <c r="P66" s="87">
        <f>IFERROR(VLOOKUP(O66,'AI(T-Shirt Sizing)'!$A$3:$B$9,2,FALSE()),0)</f>
        <v/>
      </c>
      <c r="Q66" s="88" t="n"/>
      <c r="R66" s="88" t="n"/>
      <c r="S66" s="88" t="n"/>
      <c r="T66" s="88" t="n"/>
      <c r="U66" s="88" t="n"/>
      <c r="V66" s="88" t="n"/>
    </row>
    <row r="67" ht="45" customHeight="1" s="54">
      <c r="A67" s="89" t="n"/>
      <c r="B67" s="89" t="n"/>
      <c r="C67" s="89" t="n"/>
      <c r="D67" s="89" t="n"/>
      <c r="E67" s="89" t="n"/>
      <c r="F67" s="89" t="n"/>
      <c r="G67" s="89" t="n"/>
      <c r="H67" s="89" t="n"/>
      <c r="I67" s="80" t="n"/>
      <c r="J67" s="81">
        <f>IFERROR(VLOOKUP(I67,'Design(T-Shirt Sizing)'!$A$3:$B$9,2,FALSE()),0)</f>
        <v/>
      </c>
      <c r="K67" s="82" t="n"/>
      <c r="L67" s="83">
        <f>IFERROR(VLOOKUP(K67,'FE(T-Shirt Sizing)'!$A$3:$B$9,2,FALSE()),0)</f>
        <v/>
      </c>
      <c r="M67" s="84" t="n"/>
      <c r="N67" s="85">
        <f>IFERROR(VLOOKUP(M67,'BE(T-Shirt Sizing)'!$A$3:$B$9,2,FALSE()),0)</f>
        <v/>
      </c>
      <c r="O67" s="86" t="n"/>
      <c r="P67" s="87">
        <f>IFERROR(VLOOKUP(O67,'AI(T-Shirt Sizing)'!$A$3:$B$9,2,FALSE()),0)</f>
        <v/>
      </c>
      <c r="Q67" s="88" t="n"/>
      <c r="R67" s="88" t="n"/>
      <c r="S67" s="88" t="n"/>
      <c r="T67" s="88" t="n"/>
      <c r="U67" s="88" t="n"/>
      <c r="V67" s="88" t="n"/>
    </row>
    <row r="68" ht="45" customHeight="1" s="54">
      <c r="A68" s="79" t="n"/>
      <c r="B68" s="79" t="n"/>
      <c r="C68" s="79" t="n"/>
      <c r="D68" s="79" t="n"/>
      <c r="E68" s="79" t="n"/>
      <c r="F68" s="79" t="n"/>
      <c r="G68" s="79" t="n"/>
      <c r="H68" s="79" t="n"/>
      <c r="I68" s="80" t="n"/>
      <c r="J68" s="81">
        <f>IFERROR(VLOOKUP(I68,'Design(T-Shirt Sizing)'!$A$3:$B$9,2,FALSE()),0)</f>
        <v/>
      </c>
      <c r="K68" s="82" t="n"/>
      <c r="L68" s="83">
        <f>IFERROR(VLOOKUP(K68,'FE(T-Shirt Sizing)'!$A$3:$B$9,2,FALSE()),0)</f>
        <v/>
      </c>
      <c r="M68" s="84" t="n"/>
      <c r="N68" s="85">
        <f>IFERROR(VLOOKUP(M68,'BE(T-Shirt Sizing)'!$A$3:$B$9,2,FALSE()),0)</f>
        <v/>
      </c>
      <c r="O68" s="86" t="n"/>
      <c r="P68" s="87">
        <f>IFERROR(VLOOKUP(O68,'AI(T-Shirt Sizing)'!$A$3:$B$9,2,FALSE()),0)</f>
        <v/>
      </c>
      <c r="Q68" s="88" t="n"/>
      <c r="R68" s="88" t="n"/>
      <c r="S68" s="88" t="n"/>
      <c r="T68" s="88" t="n"/>
      <c r="U68" s="88" t="n"/>
      <c r="V68" s="88" t="n"/>
    </row>
    <row r="69" ht="45" customHeight="1" s="54">
      <c r="A69" s="89" t="n"/>
      <c r="B69" s="89" t="n"/>
      <c r="C69" s="89" t="n"/>
      <c r="D69" s="89" t="n"/>
      <c r="E69" s="89" t="n"/>
      <c r="F69" s="89" t="n"/>
      <c r="G69" s="89" t="n"/>
      <c r="H69" s="89" t="n"/>
      <c r="I69" s="80" t="n"/>
      <c r="J69" s="81">
        <f>IFERROR(VLOOKUP(I69,'Design(T-Shirt Sizing)'!$A$3:$B$9,2,FALSE()),0)</f>
        <v/>
      </c>
      <c r="K69" s="82" t="n"/>
      <c r="L69" s="83">
        <f>IFERROR(VLOOKUP(K69,'FE(T-Shirt Sizing)'!$A$3:$B$9,2,FALSE()),0)</f>
        <v/>
      </c>
      <c r="M69" s="84" t="n"/>
      <c r="N69" s="85">
        <f>IFERROR(VLOOKUP(M69,'BE(T-Shirt Sizing)'!$A$3:$B$9,2,FALSE()),0)</f>
        <v/>
      </c>
      <c r="O69" s="86" t="n"/>
      <c r="P69" s="87">
        <f>IFERROR(VLOOKUP(O69,'AI(T-Shirt Sizing)'!$A$3:$B$9,2,FALSE()),0)</f>
        <v/>
      </c>
      <c r="Q69" s="88" t="n"/>
      <c r="R69" s="88" t="n"/>
      <c r="S69" s="88" t="n"/>
      <c r="T69" s="88" t="n"/>
      <c r="U69" s="88" t="n"/>
      <c r="V69" s="88" t="n"/>
    </row>
    <row r="70" ht="45" customHeight="1" s="54">
      <c r="A70" s="79" t="n"/>
      <c r="B70" s="79" t="n"/>
      <c r="C70" s="79" t="n"/>
      <c r="D70" s="79" t="n"/>
      <c r="E70" s="79" t="n"/>
      <c r="F70" s="79" t="n"/>
      <c r="G70" s="79" t="n"/>
      <c r="H70" s="79" t="n"/>
      <c r="I70" s="80" t="n"/>
      <c r="J70" s="81">
        <f>IFERROR(VLOOKUP(I70,'Design(T-Shirt Sizing)'!$A$3:$B$9,2,FALSE()),0)</f>
        <v/>
      </c>
      <c r="K70" s="82" t="n"/>
      <c r="L70" s="83">
        <f>IFERROR(VLOOKUP(K70,'FE(T-Shirt Sizing)'!$A$3:$B$9,2,FALSE()),0)</f>
        <v/>
      </c>
      <c r="M70" s="84" t="n"/>
      <c r="N70" s="85">
        <f>IFERROR(VLOOKUP(M70,'BE(T-Shirt Sizing)'!$A$3:$B$9,2,FALSE()),0)</f>
        <v/>
      </c>
      <c r="O70" s="86" t="n"/>
      <c r="P70" s="87">
        <f>IFERROR(VLOOKUP(O70,'AI(T-Shirt Sizing)'!$A$3:$B$9,2,FALSE()),0)</f>
        <v/>
      </c>
      <c r="Q70" s="88" t="n"/>
      <c r="R70" s="88" t="n"/>
      <c r="S70" s="88" t="n"/>
      <c r="T70" s="88" t="n"/>
      <c r="U70" s="88" t="n"/>
      <c r="V70" s="88" t="n"/>
    </row>
    <row r="71" ht="45" customHeight="1" s="54">
      <c r="A71" s="89" t="n"/>
      <c r="B71" s="89" t="n"/>
      <c r="C71" s="89" t="n"/>
      <c r="D71" s="89" t="n"/>
      <c r="E71" s="89" t="n"/>
      <c r="F71" s="89" t="n"/>
      <c r="G71" s="89" t="n"/>
      <c r="H71" s="89" t="n"/>
      <c r="I71" s="80" t="n"/>
      <c r="J71" s="81">
        <f>IFERROR(VLOOKUP(I71,'Design(T-Shirt Sizing)'!$A$3:$B$9,2,FALSE()),0)</f>
        <v/>
      </c>
      <c r="K71" s="82" t="n"/>
      <c r="L71" s="83">
        <f>IFERROR(VLOOKUP(K71,'FE(T-Shirt Sizing)'!$A$3:$B$9,2,FALSE()),0)</f>
        <v/>
      </c>
      <c r="M71" s="84" t="n"/>
      <c r="N71" s="85">
        <f>IFERROR(VLOOKUP(M71,'BE(T-Shirt Sizing)'!$A$3:$B$9,2,FALSE()),0)</f>
        <v/>
      </c>
      <c r="O71" s="86" t="n"/>
      <c r="P71" s="87">
        <f>IFERROR(VLOOKUP(O71,'AI(T-Shirt Sizing)'!$A$3:$B$9,2,FALSE()),0)</f>
        <v/>
      </c>
      <c r="Q71" s="88" t="n"/>
      <c r="R71" s="88" t="n"/>
      <c r="S71" s="88" t="n"/>
      <c r="T71" s="88" t="n"/>
      <c r="U71" s="88" t="n"/>
      <c r="V71" s="88" t="n"/>
    </row>
    <row r="72" ht="45" customHeight="1" s="54">
      <c r="A72" s="79" t="n"/>
      <c r="B72" s="79" t="n"/>
      <c r="C72" s="79" t="n"/>
      <c r="D72" s="79" t="n"/>
      <c r="E72" s="79" t="n"/>
      <c r="F72" s="79" t="n"/>
      <c r="G72" s="79" t="n"/>
      <c r="H72" s="79" t="n"/>
      <c r="I72" s="80" t="n"/>
      <c r="J72" s="81">
        <f>IFERROR(VLOOKUP(I72,'Design(T-Shirt Sizing)'!$A$3:$B$9,2,FALSE()),0)</f>
        <v/>
      </c>
      <c r="K72" s="82" t="n"/>
      <c r="L72" s="83">
        <f>IFERROR(VLOOKUP(K72,'FE(T-Shirt Sizing)'!$A$3:$B$9,2,FALSE()),0)</f>
        <v/>
      </c>
      <c r="M72" s="84" t="n"/>
      <c r="N72" s="85">
        <f>IFERROR(VLOOKUP(M72,'BE(T-Shirt Sizing)'!$A$3:$B$9,2,FALSE()),0)</f>
        <v/>
      </c>
      <c r="O72" s="86" t="n"/>
      <c r="P72" s="87">
        <f>IFERROR(VLOOKUP(O72,'AI(T-Shirt Sizing)'!$A$3:$B$9,2,FALSE()),0)</f>
        <v/>
      </c>
      <c r="Q72" s="88" t="n"/>
      <c r="R72" s="88" t="n"/>
      <c r="S72" s="88" t="n"/>
      <c r="T72" s="88" t="n"/>
      <c r="U72" s="88" t="n"/>
      <c r="V72" s="88" t="n"/>
    </row>
    <row r="73" ht="45" customHeight="1" s="54">
      <c r="A73" s="89" t="n"/>
      <c r="B73" s="89" t="n"/>
      <c r="C73" s="89" t="n"/>
      <c r="D73" s="89" t="n"/>
      <c r="E73" s="89" t="n"/>
      <c r="F73" s="89" t="n"/>
      <c r="G73" s="89" t="n"/>
      <c r="H73" s="89" t="n"/>
      <c r="I73" s="80" t="n"/>
      <c r="J73" s="81">
        <f>IFERROR(VLOOKUP(I73,'Design(T-Shirt Sizing)'!$A$3:$B$9,2,FALSE()),0)</f>
        <v/>
      </c>
      <c r="K73" s="82" t="n"/>
      <c r="L73" s="83">
        <f>IFERROR(VLOOKUP(K73,'FE(T-Shirt Sizing)'!$A$3:$B$9,2,FALSE()),0)</f>
        <v/>
      </c>
      <c r="M73" s="84" t="n"/>
      <c r="N73" s="85">
        <f>IFERROR(VLOOKUP(M73,'BE(T-Shirt Sizing)'!$A$3:$B$9,2,FALSE()),0)</f>
        <v/>
      </c>
      <c r="O73" s="86" t="n"/>
      <c r="P73" s="87">
        <f>IFERROR(VLOOKUP(O73,'AI(T-Shirt Sizing)'!$A$3:$B$9,2,FALSE()),0)</f>
        <v/>
      </c>
      <c r="Q73" s="88" t="n"/>
      <c r="R73" s="88" t="n"/>
      <c r="S73" s="88" t="n"/>
      <c r="T73" s="88" t="n"/>
      <c r="U73" s="88" t="n"/>
      <c r="V73" s="88" t="n"/>
    </row>
    <row r="74" ht="45" customHeight="1" s="54">
      <c r="A74" s="79" t="n"/>
      <c r="B74" s="79" t="n"/>
      <c r="C74" s="79" t="n"/>
      <c r="D74" s="79" t="n"/>
      <c r="E74" s="79" t="n"/>
      <c r="F74" s="79" t="n"/>
      <c r="G74" s="79" t="n"/>
      <c r="H74" s="79" t="n"/>
      <c r="I74" s="80" t="n"/>
      <c r="J74" s="81">
        <f>IFERROR(VLOOKUP(I74,'Design(T-Shirt Sizing)'!$A$3:$B$9,2,FALSE()),0)</f>
        <v/>
      </c>
      <c r="K74" s="82" t="n"/>
      <c r="L74" s="83">
        <f>IFERROR(VLOOKUP(K74,'FE(T-Shirt Sizing)'!$A$3:$B$9,2,FALSE()),0)</f>
        <v/>
      </c>
      <c r="M74" s="84" t="n"/>
      <c r="N74" s="85">
        <f>IFERROR(VLOOKUP(M74,'BE(T-Shirt Sizing)'!$A$3:$B$9,2,FALSE()),0)</f>
        <v/>
      </c>
      <c r="O74" s="86" t="n"/>
      <c r="P74" s="87">
        <f>IFERROR(VLOOKUP(O74,'AI(T-Shirt Sizing)'!$A$3:$B$9,2,FALSE()),0)</f>
        <v/>
      </c>
      <c r="Q74" s="88" t="n"/>
      <c r="R74" s="88" t="n"/>
      <c r="S74" s="88" t="n"/>
      <c r="T74" s="88" t="n"/>
      <c r="U74" s="88" t="n"/>
      <c r="V74" s="88" t="n"/>
    </row>
    <row r="75" ht="45" customHeight="1" s="54">
      <c r="A75" s="89" t="n"/>
      <c r="B75" s="89" t="n"/>
      <c r="C75" s="89" t="n"/>
      <c r="D75" s="89" t="n"/>
      <c r="E75" s="89" t="n"/>
      <c r="F75" s="89" t="n"/>
      <c r="G75" s="89" t="n"/>
      <c r="H75" s="89" t="n"/>
      <c r="I75" s="80" t="n"/>
      <c r="J75" s="81">
        <f>IFERROR(VLOOKUP(I75,'Design(T-Shirt Sizing)'!$A$3:$B$9,2,FALSE()),0)</f>
        <v/>
      </c>
      <c r="K75" s="82" t="n"/>
      <c r="L75" s="83">
        <f>IFERROR(VLOOKUP(K75,'FE(T-Shirt Sizing)'!$A$3:$B$9,2,FALSE()),0)</f>
        <v/>
      </c>
      <c r="M75" s="84" t="n"/>
      <c r="N75" s="85">
        <f>IFERROR(VLOOKUP(M75,'BE(T-Shirt Sizing)'!$A$3:$B$9,2,FALSE()),0)</f>
        <v/>
      </c>
      <c r="O75" s="86" t="n"/>
      <c r="P75" s="87">
        <f>IFERROR(VLOOKUP(O75,'AI(T-Shirt Sizing)'!$A$3:$B$9,2,FALSE()),0)</f>
        <v/>
      </c>
      <c r="Q75" s="88" t="n"/>
      <c r="R75" s="88" t="n"/>
      <c r="S75" s="88" t="n"/>
      <c r="T75" s="88" t="n"/>
      <c r="U75" s="88" t="n"/>
      <c r="V75" s="88" t="n"/>
    </row>
    <row r="76" ht="45" customHeight="1" s="54">
      <c r="A76" s="79" t="n"/>
      <c r="B76" s="79" t="n"/>
      <c r="C76" s="79" t="n"/>
      <c r="D76" s="79" t="n"/>
      <c r="E76" s="79" t="n"/>
      <c r="F76" s="79" t="n"/>
      <c r="G76" s="79" t="n"/>
      <c r="H76" s="79" t="n"/>
      <c r="I76" s="80" t="n"/>
      <c r="J76" s="81">
        <f>IFERROR(VLOOKUP(I76,'Design(T-Shirt Sizing)'!$A$3:$B$9,2,FALSE()),0)</f>
        <v/>
      </c>
      <c r="K76" s="82" t="n"/>
      <c r="L76" s="83">
        <f>IFERROR(VLOOKUP(K76,'FE(T-Shirt Sizing)'!$A$3:$B$9,2,FALSE()),0)</f>
        <v/>
      </c>
      <c r="M76" s="84" t="n"/>
      <c r="N76" s="85">
        <f>IFERROR(VLOOKUP(M76,'BE(T-Shirt Sizing)'!$A$3:$B$9,2,FALSE()),0)</f>
        <v/>
      </c>
      <c r="O76" s="86" t="n"/>
      <c r="P76" s="87">
        <f>IFERROR(VLOOKUP(O76,'AI(T-Shirt Sizing)'!$A$3:$B$9,2,FALSE()),0)</f>
        <v/>
      </c>
      <c r="Q76" s="88" t="n"/>
      <c r="R76" s="88" t="n"/>
      <c r="S76" s="88" t="n"/>
      <c r="T76" s="88" t="n"/>
      <c r="U76" s="88" t="n"/>
      <c r="V76" s="88" t="n"/>
    </row>
    <row r="77" ht="45" customHeight="1" s="54">
      <c r="A77" s="89" t="n"/>
      <c r="B77" s="89" t="n"/>
      <c r="C77" s="89" t="n"/>
      <c r="D77" s="89" t="n"/>
      <c r="E77" s="89" t="n"/>
      <c r="F77" s="89" t="n"/>
      <c r="G77" s="89" t="n"/>
      <c r="H77" s="89" t="n"/>
      <c r="I77" s="80" t="n"/>
      <c r="J77" s="81">
        <f>IFERROR(VLOOKUP(I77,'Design(T-Shirt Sizing)'!$A$3:$B$9,2,FALSE()),0)</f>
        <v/>
      </c>
      <c r="K77" s="82" t="n"/>
      <c r="L77" s="83">
        <f>IFERROR(VLOOKUP(K77,'FE(T-Shirt Sizing)'!$A$3:$B$9,2,FALSE()),0)</f>
        <v/>
      </c>
      <c r="M77" s="84" t="n"/>
      <c r="N77" s="85">
        <f>IFERROR(VLOOKUP(M77,'BE(T-Shirt Sizing)'!$A$3:$B$9,2,FALSE()),0)</f>
        <v/>
      </c>
      <c r="O77" s="86" t="n"/>
      <c r="P77" s="87">
        <f>IFERROR(VLOOKUP(O77,'AI(T-Shirt Sizing)'!$A$3:$B$9,2,FALSE()),0)</f>
        <v/>
      </c>
      <c r="Q77" s="88" t="n"/>
      <c r="R77" s="88" t="n"/>
      <c r="S77" s="88" t="n"/>
      <c r="T77" s="88" t="n"/>
      <c r="U77" s="88" t="n"/>
      <c r="V77" s="88" t="n"/>
    </row>
    <row r="78" ht="45" customHeight="1" s="54">
      <c r="A78" s="79" t="n"/>
      <c r="B78" s="79" t="n"/>
      <c r="C78" s="79" t="n"/>
      <c r="D78" s="79" t="n"/>
      <c r="E78" s="79" t="n"/>
      <c r="F78" s="79" t="n"/>
      <c r="G78" s="79" t="n"/>
      <c r="H78" s="79" t="n"/>
      <c r="I78" s="80" t="n"/>
      <c r="J78" s="81">
        <f>IFERROR(VLOOKUP(I78,'Design(T-Shirt Sizing)'!$A$3:$B$9,2,FALSE()),0)</f>
        <v/>
      </c>
      <c r="K78" s="82" t="n"/>
      <c r="L78" s="83">
        <f>IFERROR(VLOOKUP(K78,'FE(T-Shirt Sizing)'!$A$3:$B$9,2,FALSE()),0)</f>
        <v/>
      </c>
      <c r="M78" s="84" t="n"/>
      <c r="N78" s="85">
        <f>IFERROR(VLOOKUP(M78,'BE(T-Shirt Sizing)'!$A$3:$B$9,2,FALSE()),0)</f>
        <v/>
      </c>
      <c r="O78" s="86" t="n"/>
      <c r="P78" s="87">
        <f>IFERROR(VLOOKUP(O78,'AI(T-Shirt Sizing)'!$A$3:$B$9,2,FALSE()),0)</f>
        <v/>
      </c>
      <c r="Q78" s="88" t="n"/>
      <c r="R78" s="88" t="n"/>
      <c r="S78" s="88" t="n"/>
      <c r="T78" s="88" t="n"/>
      <c r="U78" s="88" t="n"/>
      <c r="V78" s="88" t="n"/>
    </row>
    <row r="79" ht="45" customHeight="1" s="54">
      <c r="A79" s="89" t="n"/>
      <c r="B79" s="89" t="n"/>
      <c r="C79" s="89" t="n"/>
      <c r="D79" s="89" t="n"/>
      <c r="E79" s="89" t="n"/>
      <c r="F79" s="89" t="n"/>
      <c r="G79" s="89" t="n"/>
      <c r="H79" s="89" t="n"/>
      <c r="I79" s="80" t="n"/>
      <c r="J79" s="81">
        <f>IFERROR(VLOOKUP(I79,'Design(T-Shirt Sizing)'!$A$3:$B$9,2,FALSE()),0)</f>
        <v/>
      </c>
      <c r="K79" s="82" t="n"/>
      <c r="L79" s="83">
        <f>IFERROR(VLOOKUP(K79,'FE(T-Shirt Sizing)'!$A$3:$B$9,2,FALSE()),0)</f>
        <v/>
      </c>
      <c r="M79" s="84" t="n"/>
      <c r="N79" s="85">
        <f>IFERROR(VLOOKUP(M79,'BE(T-Shirt Sizing)'!$A$3:$B$9,2,FALSE()),0)</f>
        <v/>
      </c>
      <c r="O79" s="86" t="n"/>
      <c r="P79" s="87">
        <f>IFERROR(VLOOKUP(O79,'AI(T-Shirt Sizing)'!$A$3:$B$9,2,FALSE()),0)</f>
        <v/>
      </c>
      <c r="Q79" s="88" t="n"/>
      <c r="R79" s="88" t="n"/>
      <c r="S79" s="88" t="n"/>
      <c r="T79" s="88" t="n"/>
      <c r="U79" s="88" t="n"/>
      <c r="V79" s="88" t="n"/>
    </row>
    <row r="80" ht="45" customHeight="1" s="54">
      <c r="A80" s="79" t="n"/>
      <c r="B80" s="79" t="n"/>
      <c r="C80" s="79" t="n"/>
      <c r="D80" s="79" t="n"/>
      <c r="E80" s="79" t="n"/>
      <c r="F80" s="79" t="n"/>
      <c r="G80" s="79" t="n"/>
      <c r="H80" s="79" t="n"/>
      <c r="I80" s="80" t="n"/>
      <c r="J80" s="81">
        <f>IFERROR(VLOOKUP(I80,'Design(T-Shirt Sizing)'!$A$3:$B$9,2,FALSE()),0)</f>
        <v/>
      </c>
      <c r="K80" s="82" t="n"/>
      <c r="L80" s="83">
        <f>IFERROR(VLOOKUP(K80,'FE(T-Shirt Sizing)'!$A$3:$B$9,2,FALSE()),0)</f>
        <v/>
      </c>
      <c r="M80" s="84" t="n"/>
      <c r="N80" s="85">
        <f>IFERROR(VLOOKUP(M80,'BE(T-Shirt Sizing)'!$A$3:$B$9,2,FALSE()),0)</f>
        <v/>
      </c>
      <c r="O80" s="86" t="n"/>
      <c r="P80" s="87">
        <f>IFERROR(VLOOKUP(O80,'AI(T-Shirt Sizing)'!$A$3:$B$9,2,FALSE()),0)</f>
        <v/>
      </c>
      <c r="Q80" s="88" t="n"/>
      <c r="R80" s="88" t="n"/>
      <c r="S80" s="88" t="n"/>
      <c r="T80" s="88" t="n"/>
      <c r="U80" s="88" t="n"/>
      <c r="V80" s="88" t="n"/>
    </row>
    <row r="81" ht="45" customHeight="1" s="54">
      <c r="A81" s="89" t="n"/>
      <c r="B81" s="89" t="n"/>
      <c r="C81" s="89" t="n"/>
      <c r="D81" s="89" t="n"/>
      <c r="E81" s="89" t="n"/>
      <c r="F81" s="89" t="n"/>
      <c r="G81" s="89" t="n"/>
      <c r="H81" s="89" t="n"/>
      <c r="I81" s="80" t="n"/>
      <c r="J81" s="81">
        <f>IFERROR(VLOOKUP(I81,'Design(T-Shirt Sizing)'!$A$3:$B$9,2,FALSE()),0)</f>
        <v/>
      </c>
      <c r="K81" s="82" t="n"/>
      <c r="L81" s="83">
        <f>IFERROR(VLOOKUP(K81,'FE(T-Shirt Sizing)'!$A$3:$B$9,2,FALSE()),0)</f>
        <v/>
      </c>
      <c r="M81" s="84" t="n"/>
      <c r="N81" s="85">
        <f>IFERROR(VLOOKUP(M81,'BE(T-Shirt Sizing)'!$A$3:$B$9,2,FALSE()),0)</f>
        <v/>
      </c>
      <c r="O81" s="86" t="n"/>
      <c r="P81" s="87">
        <f>IFERROR(VLOOKUP(O81,'AI(T-Shirt Sizing)'!$A$3:$B$9,2,FALSE()),0)</f>
        <v/>
      </c>
      <c r="Q81" s="88" t="n"/>
      <c r="R81" s="88" t="n"/>
      <c r="S81" s="88" t="n"/>
      <c r="T81" s="88" t="n"/>
      <c r="U81" s="88" t="n"/>
      <c r="V81" s="88" t="n"/>
    </row>
    <row r="82" ht="45" customHeight="1" s="54">
      <c r="A82" s="79" t="n"/>
      <c r="B82" s="79" t="n"/>
      <c r="C82" s="79" t="n"/>
      <c r="D82" s="79" t="n"/>
      <c r="E82" s="79" t="n"/>
      <c r="F82" s="79" t="n"/>
      <c r="G82" s="79" t="n"/>
      <c r="H82" s="79" t="n"/>
      <c r="I82" s="80" t="n"/>
      <c r="J82" s="81">
        <f>IFERROR(VLOOKUP(I82,'Design(T-Shirt Sizing)'!$A$3:$B$9,2,FALSE()),0)</f>
        <v/>
      </c>
      <c r="K82" s="82" t="n"/>
      <c r="L82" s="83">
        <f>IFERROR(VLOOKUP(K82,'FE(T-Shirt Sizing)'!$A$3:$B$9,2,FALSE()),0)</f>
        <v/>
      </c>
      <c r="M82" s="84" t="n"/>
      <c r="N82" s="85">
        <f>IFERROR(VLOOKUP(M82,'BE(T-Shirt Sizing)'!$A$3:$B$9,2,FALSE()),0)</f>
        <v/>
      </c>
      <c r="O82" s="86" t="n"/>
      <c r="P82" s="87">
        <f>IFERROR(VLOOKUP(O82,'AI(T-Shirt Sizing)'!$A$3:$B$9,2,FALSE()),0)</f>
        <v/>
      </c>
      <c r="Q82" s="88" t="n"/>
      <c r="R82" s="88" t="n"/>
      <c r="S82" s="88" t="n"/>
      <c r="T82" s="88" t="n"/>
      <c r="U82" s="88" t="n"/>
      <c r="V82" s="88" t="n"/>
    </row>
    <row r="83" ht="45" customHeight="1" s="54">
      <c r="A83" s="89" t="n"/>
      <c r="B83" s="89" t="n"/>
      <c r="C83" s="89" t="n"/>
      <c r="D83" s="89" t="n"/>
      <c r="E83" s="89" t="n"/>
      <c r="F83" s="89" t="n"/>
      <c r="G83" s="89" t="n"/>
      <c r="H83" s="89" t="n"/>
      <c r="I83" s="80" t="n"/>
      <c r="J83" s="81">
        <f>IFERROR(VLOOKUP(I83,'Design(T-Shirt Sizing)'!$A$3:$B$9,2,FALSE()),0)</f>
        <v/>
      </c>
      <c r="K83" s="82" t="n"/>
      <c r="L83" s="83">
        <f>IFERROR(VLOOKUP(K83,'FE(T-Shirt Sizing)'!$A$3:$B$9,2,FALSE()),0)</f>
        <v/>
      </c>
      <c r="M83" s="84" t="n"/>
      <c r="N83" s="85">
        <f>IFERROR(VLOOKUP(M83,'BE(T-Shirt Sizing)'!$A$3:$B$9,2,FALSE()),0)</f>
        <v/>
      </c>
      <c r="O83" s="86" t="n"/>
      <c r="P83" s="87">
        <f>IFERROR(VLOOKUP(O83,'AI(T-Shirt Sizing)'!$A$3:$B$9,2,FALSE()),0)</f>
        <v/>
      </c>
      <c r="Q83" s="88" t="n"/>
      <c r="R83" s="88" t="n"/>
      <c r="S83" s="88" t="n"/>
      <c r="T83" s="88" t="n"/>
      <c r="U83" s="88" t="n"/>
      <c r="V83" s="88" t="n"/>
    </row>
    <row r="84" ht="45" customHeight="1" s="54">
      <c r="A84" s="79" t="n"/>
      <c r="B84" s="79" t="n"/>
      <c r="C84" s="79" t="n"/>
      <c r="D84" s="79" t="n"/>
      <c r="E84" s="79" t="n"/>
      <c r="F84" s="79" t="n"/>
      <c r="G84" s="79" t="n"/>
      <c r="H84" s="79" t="n"/>
      <c r="I84" s="80" t="n"/>
      <c r="J84" s="81">
        <f>IFERROR(VLOOKUP(I84,'Design(T-Shirt Sizing)'!$A$3:$B$9,2,FALSE()),0)</f>
        <v/>
      </c>
      <c r="K84" s="82" t="n"/>
      <c r="L84" s="83">
        <f>IFERROR(VLOOKUP(K84,'FE(T-Shirt Sizing)'!$A$3:$B$9,2,FALSE()),0)</f>
        <v/>
      </c>
      <c r="M84" s="84" t="n"/>
      <c r="N84" s="85">
        <f>IFERROR(VLOOKUP(M84,'BE(T-Shirt Sizing)'!$A$3:$B$9,2,FALSE()),0)</f>
        <v/>
      </c>
      <c r="O84" s="86" t="n"/>
      <c r="P84" s="87">
        <f>IFERROR(VLOOKUP(O84,'AI(T-Shirt Sizing)'!$A$3:$B$9,2,FALSE()),0)</f>
        <v/>
      </c>
      <c r="Q84" s="88" t="n"/>
      <c r="R84" s="88" t="n"/>
      <c r="S84" s="88" t="n"/>
      <c r="T84" s="88" t="n"/>
      <c r="U84" s="88" t="n"/>
      <c r="V84" s="88" t="n"/>
    </row>
    <row r="85" ht="45" customHeight="1" s="54">
      <c r="A85" s="89" t="n"/>
      <c r="B85" s="89" t="n"/>
      <c r="C85" s="89" t="n"/>
      <c r="D85" s="89" t="n"/>
      <c r="E85" s="89" t="n"/>
      <c r="F85" s="89" t="n"/>
      <c r="G85" s="89" t="n"/>
      <c r="H85" s="89" t="n"/>
      <c r="I85" s="80" t="n"/>
      <c r="J85" s="81">
        <f>IFERROR(VLOOKUP(I85,'Design(T-Shirt Sizing)'!$A$3:$B$9,2,FALSE()),0)</f>
        <v/>
      </c>
      <c r="K85" s="82" t="n"/>
      <c r="L85" s="83">
        <f>IFERROR(VLOOKUP(K85,'FE(T-Shirt Sizing)'!$A$3:$B$9,2,FALSE()),0)</f>
        <v/>
      </c>
      <c r="M85" s="84" t="n"/>
      <c r="N85" s="85">
        <f>IFERROR(VLOOKUP(M85,'BE(T-Shirt Sizing)'!$A$3:$B$9,2,FALSE()),0)</f>
        <v/>
      </c>
      <c r="O85" s="86" t="n"/>
      <c r="P85" s="87">
        <f>IFERROR(VLOOKUP(O85,'AI(T-Shirt Sizing)'!$A$3:$B$9,2,FALSE()),0)</f>
        <v/>
      </c>
      <c r="Q85" s="88" t="n"/>
      <c r="R85" s="88" t="n"/>
      <c r="S85" s="88" t="n"/>
      <c r="T85" s="88" t="n"/>
      <c r="U85" s="88" t="n"/>
      <c r="V85" s="88" t="n"/>
    </row>
    <row r="86" ht="45" customHeight="1" s="54">
      <c r="A86" s="79" t="n"/>
      <c r="B86" s="79" t="n"/>
      <c r="C86" s="79" t="n"/>
      <c r="D86" s="79" t="n"/>
      <c r="E86" s="79" t="n"/>
      <c r="F86" s="79" t="n"/>
      <c r="G86" s="79" t="n"/>
      <c r="H86" s="79" t="n"/>
      <c r="I86" s="80" t="n"/>
      <c r="J86" s="81">
        <f>IFERROR(VLOOKUP(I86,'Design(T-Shirt Sizing)'!$A$3:$B$9,2,FALSE()),0)</f>
        <v/>
      </c>
      <c r="K86" s="82" t="n"/>
      <c r="L86" s="83">
        <f>IFERROR(VLOOKUP(K86,'FE(T-Shirt Sizing)'!$A$3:$B$9,2,FALSE()),0)</f>
        <v/>
      </c>
      <c r="M86" s="84" t="n"/>
      <c r="N86" s="85">
        <f>IFERROR(VLOOKUP(M86,'BE(T-Shirt Sizing)'!$A$3:$B$9,2,FALSE()),0)</f>
        <v/>
      </c>
      <c r="O86" s="86" t="n"/>
      <c r="P86" s="87">
        <f>IFERROR(VLOOKUP(O86,'AI(T-Shirt Sizing)'!$A$3:$B$9,2,FALSE()),0)</f>
        <v/>
      </c>
      <c r="Q86" s="88" t="n"/>
      <c r="R86" s="88" t="n"/>
      <c r="S86" s="88" t="n"/>
      <c r="T86" s="88" t="n"/>
      <c r="U86" s="88" t="n"/>
      <c r="V86" s="88" t="n"/>
    </row>
    <row r="87" ht="45" customHeight="1" s="54">
      <c r="A87" s="89" t="n"/>
      <c r="B87" s="89" t="n"/>
      <c r="C87" s="89" t="n"/>
      <c r="D87" s="89" t="n"/>
      <c r="E87" s="89" t="n"/>
      <c r="F87" s="89" t="n"/>
      <c r="G87" s="89" t="n"/>
      <c r="H87" s="89" t="n"/>
      <c r="I87" s="80" t="n"/>
      <c r="J87" s="81">
        <f>IFERROR(VLOOKUP(I87,'Design(T-Shirt Sizing)'!$A$3:$B$9,2,FALSE()),0)</f>
        <v/>
      </c>
      <c r="K87" s="82" t="n"/>
      <c r="L87" s="83">
        <f>IFERROR(VLOOKUP(K87,'FE(T-Shirt Sizing)'!$A$3:$B$9,2,FALSE()),0)</f>
        <v/>
      </c>
      <c r="M87" s="84" t="n"/>
      <c r="N87" s="85">
        <f>IFERROR(VLOOKUP(M87,'BE(T-Shirt Sizing)'!$A$3:$B$9,2,FALSE()),0)</f>
        <v/>
      </c>
      <c r="O87" s="86" t="n"/>
      <c r="P87" s="87">
        <f>IFERROR(VLOOKUP(O87,'AI(T-Shirt Sizing)'!$A$3:$B$9,2,FALSE()),0)</f>
        <v/>
      </c>
      <c r="Q87" s="88" t="n"/>
      <c r="R87" s="88" t="n"/>
      <c r="S87" s="88" t="n"/>
      <c r="T87" s="88" t="n"/>
      <c r="U87" s="88" t="n"/>
      <c r="V87" s="88" t="n"/>
    </row>
    <row r="88" ht="45" customHeight="1" s="54">
      <c r="A88" s="79" t="n"/>
      <c r="B88" s="79" t="n"/>
      <c r="C88" s="79" t="n"/>
      <c r="D88" s="79" t="n"/>
      <c r="E88" s="79" t="n"/>
      <c r="F88" s="79" t="n"/>
      <c r="G88" s="79" t="n"/>
      <c r="H88" s="79" t="n"/>
      <c r="I88" s="80" t="n"/>
      <c r="J88" s="81">
        <f>IFERROR(VLOOKUP(I88,'Design(T-Shirt Sizing)'!$A$3:$B$9,2,FALSE()),0)</f>
        <v/>
      </c>
      <c r="K88" s="82" t="n"/>
      <c r="L88" s="83">
        <f>IFERROR(VLOOKUP(K88,'FE(T-Shirt Sizing)'!$A$3:$B$9,2,FALSE()),0)</f>
        <v/>
      </c>
      <c r="M88" s="84" t="n"/>
      <c r="N88" s="85">
        <f>IFERROR(VLOOKUP(M88,'BE(T-Shirt Sizing)'!$A$3:$B$9,2,FALSE()),0)</f>
        <v/>
      </c>
      <c r="O88" s="86" t="n"/>
      <c r="P88" s="87">
        <f>IFERROR(VLOOKUP(O88,'AI(T-Shirt Sizing)'!$A$3:$B$9,2,FALSE()),0)</f>
        <v/>
      </c>
      <c r="Q88" s="88" t="n"/>
      <c r="R88" s="88" t="n"/>
      <c r="S88" s="88" t="n"/>
      <c r="T88" s="88" t="n"/>
      <c r="U88" s="88" t="n"/>
      <c r="V88" s="88" t="n"/>
    </row>
    <row r="89" ht="45" customHeight="1" s="54">
      <c r="A89" s="89" t="n"/>
      <c r="B89" s="89" t="n"/>
      <c r="C89" s="89" t="n"/>
      <c r="D89" s="89" t="n"/>
      <c r="E89" s="89" t="n"/>
      <c r="F89" s="89" t="n"/>
      <c r="G89" s="89" t="n"/>
      <c r="H89" s="89" t="n"/>
      <c r="I89" s="80" t="n"/>
      <c r="J89" s="81">
        <f>IFERROR(VLOOKUP(I89,'Design(T-Shirt Sizing)'!$A$3:$B$9,2,FALSE()),0)</f>
        <v/>
      </c>
      <c r="K89" s="82" t="n"/>
      <c r="L89" s="83">
        <f>IFERROR(VLOOKUP(K89,'FE(T-Shirt Sizing)'!$A$3:$B$9,2,FALSE()),0)</f>
        <v/>
      </c>
      <c r="M89" s="84" t="n"/>
      <c r="N89" s="85">
        <f>IFERROR(VLOOKUP(M89,'BE(T-Shirt Sizing)'!$A$3:$B$9,2,FALSE()),0)</f>
        <v/>
      </c>
      <c r="O89" s="86" t="n"/>
      <c r="P89" s="87">
        <f>IFERROR(VLOOKUP(O89,'AI(T-Shirt Sizing)'!$A$3:$B$9,2,FALSE()),0)</f>
        <v/>
      </c>
      <c r="Q89" s="88" t="n"/>
      <c r="R89" s="88" t="n"/>
      <c r="S89" s="88" t="n"/>
      <c r="T89" s="88" t="n"/>
      <c r="U89" s="88" t="n"/>
      <c r="V89" s="88" t="n"/>
    </row>
    <row r="90" ht="45" customHeight="1" s="54">
      <c r="A90" s="79" t="n"/>
      <c r="B90" s="79" t="n"/>
      <c r="C90" s="79" t="n"/>
      <c r="D90" s="79" t="n"/>
      <c r="E90" s="79" t="n"/>
      <c r="F90" s="79" t="n"/>
      <c r="G90" s="79" t="n"/>
      <c r="H90" s="79" t="n"/>
      <c r="I90" s="80" t="n"/>
      <c r="J90" s="81">
        <f>IFERROR(VLOOKUP(I90,'Design(T-Shirt Sizing)'!$A$3:$B$9,2,FALSE()),0)</f>
        <v/>
      </c>
      <c r="K90" s="82" t="n"/>
      <c r="L90" s="83">
        <f>IFERROR(VLOOKUP(K90,'FE(T-Shirt Sizing)'!$A$3:$B$9,2,FALSE()),0)</f>
        <v/>
      </c>
      <c r="M90" s="84" t="n"/>
      <c r="N90" s="85">
        <f>IFERROR(VLOOKUP(M90,'BE(T-Shirt Sizing)'!$A$3:$B$9,2,FALSE()),0)</f>
        <v/>
      </c>
      <c r="O90" s="86" t="n"/>
      <c r="P90" s="87">
        <f>IFERROR(VLOOKUP(O90,'AI(T-Shirt Sizing)'!$A$3:$B$9,2,FALSE()),0)</f>
        <v/>
      </c>
      <c r="Q90" s="88" t="n"/>
      <c r="R90" s="88" t="n"/>
      <c r="S90" s="88" t="n"/>
      <c r="T90" s="88" t="n"/>
      <c r="U90" s="88" t="n"/>
      <c r="V90" s="88" t="n"/>
    </row>
    <row r="91" ht="45" customHeight="1" s="54">
      <c r="A91" s="89" t="n"/>
      <c r="B91" s="89" t="n"/>
      <c r="C91" s="89" t="n"/>
      <c r="D91" s="89" t="n"/>
      <c r="E91" s="89" t="n"/>
      <c r="F91" s="89" t="n"/>
      <c r="G91" s="89" t="n"/>
      <c r="H91" s="89" t="n"/>
      <c r="I91" s="80" t="n"/>
      <c r="J91" s="81">
        <f>IFERROR(VLOOKUP(I91,'Design(T-Shirt Sizing)'!$A$3:$B$9,2,FALSE()),0)</f>
        <v/>
      </c>
      <c r="K91" s="82" t="n"/>
      <c r="L91" s="83">
        <f>IFERROR(VLOOKUP(K91,'FE(T-Shirt Sizing)'!$A$3:$B$9,2,FALSE()),0)</f>
        <v/>
      </c>
      <c r="M91" s="84" t="n"/>
      <c r="N91" s="85">
        <f>IFERROR(VLOOKUP(M91,'BE(T-Shirt Sizing)'!$A$3:$B$9,2,FALSE()),0)</f>
        <v/>
      </c>
      <c r="O91" s="86" t="n"/>
      <c r="P91" s="87">
        <f>IFERROR(VLOOKUP(O91,'AI(T-Shirt Sizing)'!$A$3:$B$9,2,FALSE()),0)</f>
        <v/>
      </c>
      <c r="Q91" s="88" t="n"/>
      <c r="R91" s="88" t="n"/>
      <c r="S91" s="88" t="n"/>
      <c r="T91" s="88" t="n"/>
      <c r="U91" s="88" t="n"/>
      <c r="V91" s="88" t="n"/>
    </row>
    <row r="92" ht="45" customHeight="1" s="54">
      <c r="A92" s="79" t="n"/>
      <c r="B92" s="79" t="n"/>
      <c r="C92" s="79" t="n"/>
      <c r="D92" s="79" t="n"/>
      <c r="E92" s="79" t="n"/>
      <c r="F92" s="79" t="n"/>
      <c r="G92" s="79" t="n"/>
      <c r="H92" s="79" t="n"/>
      <c r="I92" s="80" t="n"/>
      <c r="J92" s="81">
        <f>IFERROR(VLOOKUP(I92,'Design(T-Shirt Sizing)'!$A$3:$B$9,2,FALSE()),0)</f>
        <v/>
      </c>
      <c r="K92" s="82" t="n"/>
      <c r="L92" s="83">
        <f>IFERROR(VLOOKUP(K92,'FE(T-Shirt Sizing)'!$A$3:$B$9,2,FALSE()),0)</f>
        <v/>
      </c>
      <c r="M92" s="84" t="n"/>
      <c r="N92" s="85">
        <f>IFERROR(VLOOKUP(M92,'BE(T-Shirt Sizing)'!$A$3:$B$9,2,FALSE()),0)</f>
        <v/>
      </c>
      <c r="O92" s="86" t="n"/>
      <c r="P92" s="87">
        <f>IFERROR(VLOOKUP(O92,'AI(T-Shirt Sizing)'!$A$3:$B$9,2,FALSE()),0)</f>
        <v/>
      </c>
      <c r="Q92" s="88" t="n"/>
      <c r="R92" s="88" t="n"/>
      <c r="S92" s="88" t="n"/>
      <c r="T92" s="88" t="n"/>
      <c r="U92" s="88" t="n"/>
      <c r="V92" s="88" t="n"/>
    </row>
    <row r="93" ht="45" customHeight="1" s="54">
      <c r="A93" s="89" t="n"/>
      <c r="B93" s="89" t="n"/>
      <c r="C93" s="89" t="n"/>
      <c r="D93" s="89" t="n"/>
      <c r="E93" s="89" t="n"/>
      <c r="F93" s="89" t="n"/>
      <c r="G93" s="89" t="n"/>
      <c r="H93" s="89" t="n"/>
      <c r="I93" s="80" t="n"/>
      <c r="J93" s="81">
        <f>IFERROR(VLOOKUP(I93,'Design(T-Shirt Sizing)'!$A$3:$B$9,2,FALSE()),0)</f>
        <v/>
      </c>
      <c r="K93" s="82" t="n"/>
      <c r="L93" s="83">
        <f>IFERROR(VLOOKUP(K93,'FE(T-Shirt Sizing)'!$A$3:$B$9,2,FALSE()),0)</f>
        <v/>
      </c>
      <c r="M93" s="84" t="n"/>
      <c r="N93" s="85">
        <f>IFERROR(VLOOKUP(M93,'BE(T-Shirt Sizing)'!$A$3:$B$9,2,FALSE()),0)</f>
        <v/>
      </c>
      <c r="O93" s="86" t="n"/>
      <c r="P93" s="87">
        <f>IFERROR(VLOOKUP(O93,'AI(T-Shirt Sizing)'!$A$3:$B$9,2,FALSE()),0)</f>
        <v/>
      </c>
      <c r="Q93" s="88" t="n"/>
      <c r="R93" s="88" t="n"/>
      <c r="S93" s="88" t="n"/>
      <c r="T93" s="88" t="n"/>
      <c r="U93" s="88" t="n"/>
      <c r="V93" s="88" t="n"/>
    </row>
    <row r="94" ht="45" customHeight="1" s="54">
      <c r="A94" s="79" t="n"/>
      <c r="B94" s="79" t="n"/>
      <c r="C94" s="79" t="n"/>
      <c r="D94" s="79" t="n"/>
      <c r="E94" s="79" t="n"/>
      <c r="F94" s="79" t="n"/>
      <c r="G94" s="79" t="n"/>
      <c r="H94" s="79" t="n"/>
      <c r="I94" s="80" t="n"/>
      <c r="J94" s="81">
        <f>IFERROR(VLOOKUP(I94,'Design(T-Shirt Sizing)'!$A$3:$B$9,2,FALSE()),0)</f>
        <v/>
      </c>
      <c r="K94" s="82" t="n"/>
      <c r="L94" s="83">
        <f>IFERROR(VLOOKUP(K94,'FE(T-Shirt Sizing)'!$A$3:$B$9,2,FALSE()),0)</f>
        <v/>
      </c>
      <c r="M94" s="84" t="n"/>
      <c r="N94" s="85">
        <f>IFERROR(VLOOKUP(M94,'BE(T-Shirt Sizing)'!$A$3:$B$9,2,FALSE()),0)</f>
        <v/>
      </c>
      <c r="O94" s="86" t="n"/>
      <c r="P94" s="87">
        <f>IFERROR(VLOOKUP(O94,'AI(T-Shirt Sizing)'!$A$3:$B$9,2,FALSE()),0)</f>
        <v/>
      </c>
      <c r="Q94" s="88" t="n"/>
      <c r="R94" s="88" t="n"/>
      <c r="S94" s="88" t="n"/>
      <c r="T94" s="88" t="n"/>
      <c r="U94" s="88" t="n"/>
      <c r="V94" s="88" t="n"/>
    </row>
    <row r="95" ht="45" customHeight="1" s="54">
      <c r="A95" s="89" t="n"/>
      <c r="B95" s="89" t="n"/>
      <c r="C95" s="89" t="n"/>
      <c r="D95" s="89" t="n"/>
      <c r="E95" s="89" t="n"/>
      <c r="F95" s="89" t="n"/>
      <c r="G95" s="89" t="n"/>
      <c r="H95" s="89" t="n"/>
      <c r="I95" s="80" t="n"/>
      <c r="J95" s="81">
        <f>IFERROR(VLOOKUP(I95,'Design(T-Shirt Sizing)'!$A$3:$B$9,2,FALSE()),0)</f>
        <v/>
      </c>
      <c r="K95" s="82" t="n"/>
      <c r="L95" s="83">
        <f>IFERROR(VLOOKUP(K95,'FE(T-Shirt Sizing)'!$A$3:$B$9,2,FALSE()),0)</f>
        <v/>
      </c>
      <c r="M95" s="84" t="n"/>
      <c r="N95" s="85">
        <f>IFERROR(VLOOKUP(M95,'BE(T-Shirt Sizing)'!$A$3:$B$9,2,FALSE()),0)</f>
        <v/>
      </c>
      <c r="O95" s="86" t="n"/>
      <c r="P95" s="87">
        <f>IFERROR(VLOOKUP(O95,'AI(T-Shirt Sizing)'!$A$3:$B$9,2,FALSE()),0)</f>
        <v/>
      </c>
      <c r="Q95" s="88" t="n"/>
      <c r="R95" s="88" t="n"/>
      <c r="S95" s="88" t="n"/>
      <c r="T95" s="88" t="n"/>
      <c r="U95" s="88" t="n"/>
      <c r="V95" s="88" t="n"/>
    </row>
    <row r="96" ht="45" customHeight="1" s="54">
      <c r="A96" s="79" t="n"/>
      <c r="B96" s="79" t="n"/>
      <c r="C96" s="79" t="n"/>
      <c r="D96" s="79" t="n"/>
      <c r="E96" s="79" t="n"/>
      <c r="F96" s="79" t="n"/>
      <c r="G96" s="79" t="n"/>
      <c r="H96" s="79" t="n"/>
      <c r="I96" s="80" t="n"/>
      <c r="J96" s="81">
        <f>IFERROR(VLOOKUP(I96,'Design(T-Shirt Sizing)'!$A$3:$B$9,2,FALSE()),0)</f>
        <v/>
      </c>
      <c r="K96" s="82" t="n"/>
      <c r="L96" s="83">
        <f>IFERROR(VLOOKUP(K96,'FE(T-Shirt Sizing)'!$A$3:$B$9,2,FALSE()),0)</f>
        <v/>
      </c>
      <c r="M96" s="84" t="n"/>
      <c r="N96" s="85">
        <f>IFERROR(VLOOKUP(M96,'BE(T-Shirt Sizing)'!$A$3:$B$9,2,FALSE()),0)</f>
        <v/>
      </c>
      <c r="O96" s="86" t="n"/>
      <c r="P96" s="87">
        <f>IFERROR(VLOOKUP(O96,'AI(T-Shirt Sizing)'!$A$3:$B$9,2,FALSE()),0)</f>
        <v/>
      </c>
      <c r="Q96" s="88" t="n"/>
      <c r="R96" s="88" t="n"/>
      <c r="S96" s="88" t="n"/>
      <c r="T96" s="88" t="n"/>
      <c r="U96" s="88" t="n"/>
      <c r="V96" s="88" t="n"/>
    </row>
    <row r="97" ht="45" customHeight="1" s="54">
      <c r="A97" s="89" t="n"/>
      <c r="B97" s="89" t="n"/>
      <c r="C97" s="89" t="n"/>
      <c r="D97" s="89" t="n"/>
      <c r="E97" s="89" t="n"/>
      <c r="F97" s="89" t="n"/>
      <c r="G97" s="89" t="n"/>
      <c r="H97" s="89" t="n"/>
      <c r="I97" s="80" t="n"/>
      <c r="J97" s="81">
        <f>IFERROR(VLOOKUP(I97,'Design(T-Shirt Sizing)'!$A$3:$B$9,2,FALSE()),0)</f>
        <v/>
      </c>
      <c r="K97" s="82" t="n"/>
      <c r="L97" s="83">
        <f>IFERROR(VLOOKUP(K97,'FE(T-Shirt Sizing)'!$A$3:$B$9,2,FALSE()),0)</f>
        <v/>
      </c>
      <c r="M97" s="84" t="n"/>
      <c r="N97" s="85">
        <f>IFERROR(VLOOKUP(M97,'BE(T-Shirt Sizing)'!$A$3:$B$9,2,FALSE()),0)</f>
        <v/>
      </c>
      <c r="O97" s="86" t="n"/>
      <c r="P97" s="87">
        <f>IFERROR(VLOOKUP(O97,'AI(T-Shirt Sizing)'!$A$3:$B$9,2,FALSE()),0)</f>
        <v/>
      </c>
      <c r="Q97" s="88" t="n"/>
      <c r="R97" s="88" t="n"/>
      <c r="S97" s="88" t="n"/>
      <c r="T97" s="88" t="n"/>
      <c r="U97" s="88" t="n"/>
      <c r="V97" s="88" t="n"/>
    </row>
    <row r="98" ht="45" customHeight="1" s="54">
      <c r="A98" s="79" t="n"/>
      <c r="B98" s="79" t="n"/>
      <c r="C98" s="79" t="n"/>
      <c r="D98" s="79" t="n"/>
      <c r="E98" s="79" t="n"/>
      <c r="F98" s="79" t="n"/>
      <c r="G98" s="79" t="n"/>
      <c r="H98" s="79" t="n"/>
      <c r="I98" s="80" t="n"/>
      <c r="J98" s="81">
        <f>IFERROR(VLOOKUP(I98,'Design(T-Shirt Sizing)'!$A$3:$B$9,2,FALSE()),0)</f>
        <v/>
      </c>
      <c r="K98" s="82" t="n"/>
      <c r="L98" s="83">
        <f>IFERROR(VLOOKUP(K98,'FE(T-Shirt Sizing)'!$A$3:$B$9,2,FALSE()),0)</f>
        <v/>
      </c>
      <c r="M98" s="84" t="n"/>
      <c r="N98" s="85">
        <f>IFERROR(VLOOKUP(M98,'BE(T-Shirt Sizing)'!$A$3:$B$9,2,FALSE()),0)</f>
        <v/>
      </c>
      <c r="O98" s="86" t="n"/>
      <c r="P98" s="87">
        <f>IFERROR(VLOOKUP(O98,'AI(T-Shirt Sizing)'!$A$3:$B$9,2,FALSE()),0)</f>
        <v/>
      </c>
      <c r="Q98" s="88" t="n"/>
      <c r="R98" s="88" t="n"/>
      <c r="S98" s="88" t="n"/>
      <c r="T98" s="88" t="n"/>
      <c r="U98" s="88" t="n"/>
      <c r="V98" s="88" t="n"/>
    </row>
    <row r="99" ht="45" customHeight="1" s="54">
      <c r="A99" s="89" t="n"/>
      <c r="B99" s="89" t="n"/>
      <c r="C99" s="89" t="n"/>
      <c r="D99" s="89" t="n"/>
      <c r="E99" s="89" t="n"/>
      <c r="F99" s="89" t="n"/>
      <c r="G99" s="89" t="n"/>
      <c r="H99" s="89" t="n"/>
      <c r="I99" s="80" t="n"/>
      <c r="J99" s="81">
        <f>IFERROR(VLOOKUP(I99,'Design(T-Shirt Sizing)'!$A$3:$B$9,2,FALSE()),0)</f>
        <v/>
      </c>
      <c r="K99" s="82" t="n"/>
      <c r="L99" s="83">
        <f>IFERROR(VLOOKUP(K99,'FE(T-Shirt Sizing)'!$A$3:$B$9,2,FALSE()),0)</f>
        <v/>
      </c>
      <c r="M99" s="84" t="n"/>
      <c r="N99" s="85">
        <f>IFERROR(VLOOKUP(M99,'BE(T-Shirt Sizing)'!$A$3:$B$9,2,FALSE()),0)</f>
        <v/>
      </c>
      <c r="O99" s="86" t="n"/>
      <c r="P99" s="87">
        <f>IFERROR(VLOOKUP(O99,'AI(T-Shirt Sizing)'!$A$3:$B$9,2,FALSE()),0)</f>
        <v/>
      </c>
      <c r="Q99" s="88" t="n"/>
      <c r="R99" s="88" t="n"/>
      <c r="S99" s="88" t="n"/>
      <c r="T99" s="88" t="n"/>
      <c r="U99" s="88" t="n"/>
      <c r="V99" s="88" t="n"/>
    </row>
    <row r="100" ht="45" customHeight="1" s="54">
      <c r="A100" s="79" t="n"/>
      <c r="B100" s="79" t="n"/>
      <c r="C100" s="79" t="n"/>
      <c r="D100" s="79" t="n"/>
      <c r="E100" s="79" t="n"/>
      <c r="F100" s="79" t="n"/>
      <c r="G100" s="79" t="n"/>
      <c r="H100" s="79" t="n"/>
      <c r="I100" s="80" t="n"/>
      <c r="J100" s="81">
        <f>IFERROR(VLOOKUP(I100,'Design(T-Shirt Sizing)'!$A$3:$B$9,2,FALSE()),0)</f>
        <v/>
      </c>
      <c r="K100" s="82" t="n"/>
      <c r="L100" s="83">
        <f>IFERROR(VLOOKUP(K100,'FE(T-Shirt Sizing)'!$A$3:$B$9,2,FALSE()),0)</f>
        <v/>
      </c>
      <c r="M100" s="84" t="n"/>
      <c r="N100" s="85">
        <f>IFERROR(VLOOKUP(M100,'BE(T-Shirt Sizing)'!$A$3:$B$9,2,FALSE()),0)</f>
        <v/>
      </c>
      <c r="O100" s="86" t="n"/>
      <c r="P100" s="87">
        <f>IFERROR(VLOOKUP(O100,'AI(T-Shirt Sizing)'!$A$3:$B$9,2,FALSE()),0)</f>
        <v/>
      </c>
      <c r="Q100" s="88" t="n"/>
      <c r="R100" s="88" t="n"/>
      <c r="S100" s="88" t="n"/>
      <c r="T100" s="88" t="n"/>
      <c r="U100" s="88" t="n"/>
      <c r="V100" s="88" t="n"/>
    </row>
    <row r="101" ht="45" customHeight="1" s="54">
      <c r="A101" s="89" t="n"/>
      <c r="B101" s="89" t="n"/>
      <c r="C101" s="89" t="n"/>
      <c r="D101" s="89" t="n"/>
      <c r="E101" s="89" t="n"/>
      <c r="F101" s="89" t="n"/>
      <c r="G101" s="89" t="n"/>
      <c r="H101" s="89" t="n"/>
      <c r="I101" s="80" t="n"/>
      <c r="J101" s="81">
        <f>IFERROR(VLOOKUP(I101,'Design(T-Shirt Sizing)'!$A$3:$B$9,2,FALSE()),0)</f>
        <v/>
      </c>
      <c r="K101" s="82" t="n"/>
      <c r="L101" s="83">
        <f>IFERROR(VLOOKUP(K101,'FE(T-Shirt Sizing)'!$A$3:$B$9,2,FALSE()),0)</f>
        <v/>
      </c>
      <c r="M101" s="84" t="n"/>
      <c r="N101" s="85">
        <f>IFERROR(VLOOKUP(M101,'BE(T-Shirt Sizing)'!$A$3:$B$9,2,FALSE()),0)</f>
        <v/>
      </c>
      <c r="O101" s="86" t="n"/>
      <c r="P101" s="87">
        <f>IFERROR(VLOOKUP(O101,'AI(T-Shirt Sizing)'!$A$3:$B$9,2,FALSE()),0)</f>
        <v/>
      </c>
      <c r="Q101" s="88" t="n"/>
      <c r="R101" s="88" t="n"/>
      <c r="S101" s="88" t="n"/>
      <c r="T101" s="88" t="n"/>
      <c r="U101" s="88" t="n"/>
      <c r="V101" s="88" t="n"/>
    </row>
    <row r="102" ht="45" customHeight="1" s="54">
      <c r="A102" s="79" t="n"/>
      <c r="B102" s="79" t="n"/>
      <c r="C102" s="79" t="n"/>
      <c r="D102" s="79" t="n"/>
      <c r="E102" s="79" t="n"/>
      <c r="F102" s="79" t="n"/>
      <c r="G102" s="79" t="n"/>
      <c r="H102" s="79" t="n"/>
      <c r="I102" s="80" t="n"/>
      <c r="J102" s="81">
        <f>IFERROR(VLOOKUP(I102,'Design(T-Shirt Sizing)'!$A$3:$B$9,2,FALSE()),0)</f>
        <v/>
      </c>
      <c r="K102" s="82" t="n"/>
      <c r="L102" s="83">
        <f>IFERROR(VLOOKUP(K102,'FE(T-Shirt Sizing)'!$A$3:$B$9,2,FALSE()),0)</f>
        <v/>
      </c>
      <c r="M102" s="84" t="n"/>
      <c r="N102" s="85">
        <f>IFERROR(VLOOKUP(M102,'BE(T-Shirt Sizing)'!$A$3:$B$9,2,FALSE()),0)</f>
        <v/>
      </c>
      <c r="O102" s="86" t="n"/>
      <c r="P102" s="87">
        <f>IFERROR(VLOOKUP(O102,'AI(T-Shirt Sizing)'!$A$3:$B$9,2,FALSE()),0)</f>
        <v/>
      </c>
      <c r="Q102" s="88" t="n"/>
      <c r="R102" s="88" t="n"/>
      <c r="S102" s="88" t="n"/>
      <c r="T102" s="88" t="n"/>
      <c r="U102" s="88" t="n"/>
      <c r="V102" s="88" t="n"/>
    </row>
    <row r="103" ht="45" customHeight="1" s="54">
      <c r="A103" s="89" t="n"/>
      <c r="B103" s="89" t="n"/>
      <c r="C103" s="89" t="n"/>
      <c r="D103" s="89" t="n"/>
      <c r="E103" s="89" t="n"/>
      <c r="F103" s="89" t="n"/>
      <c r="G103" s="89" t="n"/>
      <c r="H103" s="89" t="n"/>
      <c r="I103" s="80" t="n"/>
      <c r="J103" s="81">
        <f>IFERROR(VLOOKUP(I103,'Design(T-Shirt Sizing)'!$A$3:$B$9,2,FALSE()),0)</f>
        <v/>
      </c>
      <c r="K103" s="82" t="n"/>
      <c r="L103" s="83">
        <f>IFERROR(VLOOKUP(K103,'FE(T-Shirt Sizing)'!$A$3:$B$9,2,FALSE()),0)</f>
        <v/>
      </c>
      <c r="M103" s="84" t="n"/>
      <c r="N103" s="85">
        <f>IFERROR(VLOOKUP(M103,'BE(T-Shirt Sizing)'!$A$3:$B$9,2,FALSE()),0)</f>
        <v/>
      </c>
      <c r="O103" s="86" t="n"/>
      <c r="P103" s="87">
        <f>IFERROR(VLOOKUP(O103,'AI(T-Shirt Sizing)'!$A$3:$B$9,2,FALSE()),0)</f>
        <v/>
      </c>
      <c r="Q103" s="88" t="n"/>
      <c r="R103" s="88" t="n"/>
      <c r="S103" s="88" t="n"/>
      <c r="T103" s="88" t="n"/>
      <c r="U103" s="88" t="n"/>
      <c r="V103" s="88" t="n"/>
    </row>
    <row r="104" ht="15" customHeight="1" s="54">
      <c r="A104" s="90" t="inlineStr">
        <is>
          <t>↓ Copy row 103 downward to add more stories</t>
        </is>
      </c>
    </row>
  </sheetData>
  <autoFilter ref="A3:V3"/>
  <mergeCells count="8">
    <mergeCell ref="O2:P2"/>
    <mergeCell ref="M2:N2"/>
    <mergeCell ref="A104:V104"/>
    <mergeCell ref="Q2:V2"/>
    <mergeCell ref="K2:L2"/>
    <mergeCell ref="A1:V1"/>
    <mergeCell ref="A2:H2"/>
    <mergeCell ref="I2:J2"/>
  </mergeCells>
  <dataValidations count="5">
    <dataValidation sqref="G4:G103" showDropDown="0" showInputMessage="0" showErrorMessage="1" allowBlank="0" type="list" errorStyle="stop" operator="between">
      <formula1>"High,Medium,Low"</formula1>
      <formula2>0</formula2>
    </dataValidation>
    <dataValidation sqref="I4:I103" showDropDown="0" showInputMessage="0" showErrorMessage="1" allowBlank="0" type="list" errorStyle="stop" operator="between">
      <formula1>"N.A.,XS,S,M,L,XL,2XL"</formula1>
      <formula2>0</formula2>
    </dataValidation>
    <dataValidation sqref="K4:K103" showDropDown="0" showInputMessage="0" showErrorMessage="1" allowBlank="0" type="list" errorStyle="stop" operator="between">
      <formula1>"N.A.,XS,S,M,L,XL,2XL"</formula1>
      <formula2>0</formula2>
    </dataValidation>
    <dataValidation sqref="M4:M103" showDropDown="0" showInputMessage="0" showErrorMessage="1" allowBlank="0" type="list" errorStyle="stop" operator="between">
      <formula1>"N.A.,XS,S,M,L,XL,2XL"</formula1>
      <formula2>0</formula2>
    </dataValidation>
    <dataValidation sqref="O4:O103" showDropDown="0" showInputMessage="0" showErrorMessage="1" allowBlank="0" type="list" errorStyle="stop" operator="between">
      <formula1>"N.A.,XS,S,M,L,XL,2XL"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53" min="1" max="1"/>
    <col width="14" customWidth="1" style="53" min="2" max="2"/>
    <col width="50" customWidth="1" style="53" min="3" max="3"/>
    <col width="22" customWidth="1" style="53" min="4" max="5"/>
    <col width="10" customWidth="1" style="53" min="6" max="9"/>
    <col width="30" customWidth="1" style="53" min="10" max="10"/>
  </cols>
  <sheetData>
    <row r="1" ht="30" customHeight="1" s="54">
      <c r="A1" s="55" t="inlineStr">
        <is>
          <t>NOTIFICATION MAPPING</t>
        </is>
      </c>
    </row>
    <row r="2" ht="19.5" customHeight="1" s="54">
      <c r="A2" s="58" t="inlineStr">
        <is>
          <t>S/No.</t>
        </is>
      </c>
      <c r="B2" s="58" t="inlineStr">
        <is>
          <t>User Story ID</t>
        </is>
      </c>
      <c r="C2" s="58" t="inlineStr">
        <is>
          <t>Notification Trigger &amp; Description</t>
        </is>
      </c>
      <c r="D2" s="58" t="inlineStr">
        <is>
          <t>Triggered By</t>
        </is>
      </c>
      <c r="E2" s="58" t="inlineStr">
        <is>
          <t>Recipient(s)</t>
        </is>
      </c>
      <c r="F2" s="58" t="inlineStr">
        <is>
          <t>In-App</t>
        </is>
      </c>
      <c r="G2" s="58" t="inlineStr">
        <is>
          <t>Email</t>
        </is>
      </c>
      <c r="H2" s="58" t="inlineStr">
        <is>
          <t>SMS</t>
        </is>
      </c>
      <c r="I2" s="58" t="inlineStr">
        <is>
          <t>Push</t>
        </is>
      </c>
      <c r="J2" s="58" t="inlineStr">
        <is>
          <t>Remarks</t>
        </is>
      </c>
    </row>
    <row r="3" ht="19.5" customHeight="1" s="54">
      <c r="A3" s="91" t="n"/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</row>
    <row r="4" ht="19.5" customHeight="1" s="54">
      <c r="A4" s="92" t="n"/>
      <c r="B4" s="92" t="n"/>
      <c r="C4" s="92" t="n"/>
      <c r="D4" s="92" t="n"/>
      <c r="E4" s="92" t="n"/>
      <c r="F4" s="92" t="n"/>
      <c r="G4" s="92" t="n"/>
      <c r="H4" s="92" t="n"/>
      <c r="I4" s="92" t="n"/>
      <c r="J4" s="92" t="n"/>
    </row>
    <row r="5" ht="19.5" customHeight="1" s="54">
      <c r="A5" s="91" t="n"/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</row>
    <row r="6" ht="19.5" customHeight="1" s="54">
      <c r="A6" s="92" t="n"/>
      <c r="B6" s="92" t="n"/>
      <c r="C6" s="92" t="n"/>
      <c r="D6" s="92" t="n"/>
      <c r="E6" s="92" t="n"/>
      <c r="F6" s="92" t="n"/>
      <c r="G6" s="92" t="n"/>
      <c r="H6" s="92" t="n"/>
      <c r="I6" s="92" t="n"/>
      <c r="J6" s="92" t="n"/>
    </row>
    <row r="7" ht="19.5" customHeight="1" s="54">
      <c r="A7" s="91" t="n"/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</row>
    <row r="8" ht="19.5" customHeight="1" s="54">
      <c r="A8" s="92" t="n"/>
      <c r="B8" s="92" t="n"/>
      <c r="C8" s="92" t="n"/>
      <c r="D8" s="92" t="n"/>
      <c r="E8" s="92" t="n"/>
      <c r="F8" s="92" t="n"/>
      <c r="G8" s="92" t="n"/>
      <c r="H8" s="92" t="n"/>
      <c r="I8" s="92" t="n"/>
      <c r="J8" s="92" t="n"/>
    </row>
    <row r="9" ht="19.5" customHeight="1" s="54">
      <c r="A9" s="91" t="n"/>
      <c r="B9" s="91" t="n"/>
      <c r="C9" s="91" t="n"/>
      <c r="D9" s="91" t="n"/>
      <c r="E9" s="91" t="n"/>
      <c r="F9" s="91" t="n"/>
      <c r="G9" s="91" t="n"/>
      <c r="H9" s="91" t="n"/>
      <c r="I9" s="91" t="n"/>
      <c r="J9" s="91" t="n"/>
    </row>
    <row r="10" ht="19.5" customHeight="1" s="54">
      <c r="A10" s="92" t="n"/>
      <c r="B10" s="92" t="n"/>
      <c r="C10" s="92" t="n"/>
      <c r="D10" s="92" t="n"/>
      <c r="E10" s="92" t="n"/>
      <c r="F10" s="92" t="n"/>
      <c r="G10" s="92" t="n"/>
      <c r="H10" s="92" t="n"/>
      <c r="I10" s="92" t="n"/>
      <c r="J10" s="92" t="n"/>
    </row>
    <row r="11" ht="19.5" customHeight="1" s="54">
      <c r="A11" s="91" t="n"/>
      <c r="B11" s="91" t="n"/>
      <c r="C11" s="91" t="n"/>
      <c r="D11" s="91" t="n"/>
      <c r="E11" s="91" t="n"/>
      <c r="F11" s="91" t="n"/>
      <c r="G11" s="91" t="n"/>
      <c r="H11" s="91" t="n"/>
      <c r="I11" s="91" t="n"/>
      <c r="J11" s="91" t="n"/>
    </row>
    <row r="12" ht="19.5" customHeight="1" s="54">
      <c r="A12" s="92" t="n"/>
      <c r="B12" s="92" t="n"/>
      <c r="C12" s="92" t="n"/>
      <c r="D12" s="92" t="n"/>
      <c r="E12" s="92" t="n"/>
      <c r="F12" s="92" t="n"/>
      <c r="G12" s="92" t="n"/>
      <c r="H12" s="92" t="n"/>
      <c r="I12" s="92" t="n"/>
      <c r="J12" s="92" t="n"/>
    </row>
    <row r="13" ht="19.5" customHeight="1" s="54">
      <c r="A13" s="91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</row>
    <row r="14" ht="19.5" customHeight="1" s="54">
      <c r="A14" s="92" t="n"/>
      <c r="B14" s="92" t="n"/>
      <c r="C14" s="92" t="n"/>
      <c r="D14" s="92" t="n"/>
      <c r="E14" s="92" t="n"/>
      <c r="F14" s="92" t="n"/>
      <c r="G14" s="92" t="n"/>
      <c r="H14" s="92" t="n"/>
      <c r="I14" s="92" t="n"/>
      <c r="J14" s="92" t="n"/>
    </row>
    <row r="15" ht="19.5" customHeight="1" s="54">
      <c r="A15" s="91" t="n"/>
      <c r="B15" s="91" t="n"/>
      <c r="C15" s="91" t="n"/>
      <c r="D15" s="91" t="n"/>
      <c r="E15" s="91" t="n"/>
      <c r="F15" s="91" t="n"/>
      <c r="G15" s="91" t="n"/>
      <c r="H15" s="91" t="n"/>
      <c r="I15" s="91" t="n"/>
      <c r="J15" s="91" t="n"/>
    </row>
    <row r="16" ht="19.5" customHeight="1" s="54">
      <c r="A16" s="92" t="n"/>
      <c r="B16" s="92" t="n"/>
      <c r="C16" s="92" t="n"/>
      <c r="D16" s="92" t="n"/>
      <c r="E16" s="92" t="n"/>
      <c r="F16" s="92" t="n"/>
      <c r="G16" s="92" t="n"/>
      <c r="H16" s="92" t="n"/>
      <c r="I16" s="92" t="n"/>
      <c r="J16" s="92" t="n"/>
    </row>
    <row r="17" ht="19.5" customHeight="1" s="54">
      <c r="A17" s="91" t="n"/>
      <c r="B17" s="91" t="n"/>
      <c r="C17" s="91" t="n"/>
      <c r="D17" s="91" t="n"/>
      <c r="E17" s="91" t="n"/>
      <c r="F17" s="91" t="n"/>
      <c r="G17" s="91" t="n"/>
      <c r="H17" s="91" t="n"/>
      <c r="I17" s="91" t="n"/>
      <c r="J17" s="91" t="n"/>
    </row>
    <row r="18" ht="19.5" customHeight="1" s="54">
      <c r="A18" s="92" t="n"/>
      <c r="B18" s="92" t="n"/>
      <c r="C18" s="92" t="n"/>
      <c r="D18" s="92" t="n"/>
      <c r="E18" s="92" t="n"/>
      <c r="F18" s="92" t="n"/>
      <c r="G18" s="92" t="n"/>
      <c r="H18" s="92" t="n"/>
      <c r="I18" s="92" t="n"/>
      <c r="J18" s="92" t="n"/>
    </row>
    <row r="19" ht="19.5" customHeight="1" s="54">
      <c r="A19" s="91" t="n"/>
      <c r="B19" s="91" t="n"/>
      <c r="C19" s="91" t="n"/>
      <c r="D19" s="91" t="n"/>
      <c r="E19" s="91" t="n"/>
      <c r="F19" s="91" t="n"/>
      <c r="G19" s="91" t="n"/>
      <c r="H19" s="91" t="n"/>
      <c r="I19" s="91" t="n"/>
      <c r="J19" s="91" t="n"/>
    </row>
    <row r="20" ht="19.5" customHeight="1" s="54">
      <c r="A20" s="92" t="n"/>
      <c r="B20" s="92" t="n"/>
      <c r="C20" s="92" t="n"/>
      <c r="D20" s="92" t="n"/>
      <c r="E20" s="92" t="n"/>
      <c r="F20" s="92" t="n"/>
      <c r="G20" s="92" t="n"/>
      <c r="H20" s="92" t="n"/>
      <c r="I20" s="92" t="n"/>
      <c r="J20" s="92" t="n"/>
    </row>
    <row r="21" ht="19.5" customHeight="1" s="54">
      <c r="A21" s="91" t="n"/>
      <c r="B21" s="91" t="n"/>
      <c r="C21" s="91" t="n"/>
      <c r="D21" s="91" t="n"/>
      <c r="E21" s="91" t="n"/>
      <c r="F21" s="91" t="n"/>
      <c r="G21" s="91" t="n"/>
      <c r="H21" s="91" t="n"/>
      <c r="I21" s="91" t="n"/>
      <c r="J21" s="91" t="n"/>
    </row>
    <row r="22" ht="19.5" customHeight="1" s="54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</row>
    <row r="23" ht="19.5" customHeight="1" s="54">
      <c r="A23" s="91" t="n"/>
      <c r="B23" s="91" t="n"/>
      <c r="C23" s="91" t="n"/>
      <c r="D23" s="91" t="n"/>
      <c r="E23" s="91" t="n"/>
      <c r="F23" s="91" t="n"/>
      <c r="G23" s="91" t="n"/>
      <c r="H23" s="91" t="n"/>
      <c r="I23" s="91" t="n"/>
      <c r="J23" s="91" t="n"/>
    </row>
    <row r="24" ht="19.5" customHeight="1" s="54">
      <c r="A24" s="92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</row>
    <row r="25" ht="19.5" customHeight="1" s="54">
      <c r="A25" s="91" t="n"/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</row>
    <row r="26" ht="19.5" customHeight="1" s="54">
      <c r="A26" s="92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</row>
    <row r="27" ht="19.5" customHeight="1" s="54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</row>
    <row r="28" ht="19.5" customHeight="1" s="54">
      <c r="A28" s="92" t="n"/>
      <c r="B28" s="92" t="n"/>
      <c r="C28" s="92" t="n"/>
      <c r="D28" s="92" t="n"/>
      <c r="E28" s="92" t="n"/>
      <c r="F28" s="92" t="n"/>
      <c r="G28" s="92" t="n"/>
      <c r="H28" s="92" t="n"/>
      <c r="I28" s="92" t="n"/>
      <c r="J28" s="92" t="n"/>
    </row>
    <row r="29" ht="19.5" customHeight="1" s="54">
      <c r="A29" s="91" t="n"/>
      <c r="B29" s="91" t="n"/>
      <c r="C29" s="91" t="n"/>
      <c r="D29" s="91" t="n"/>
      <c r="E29" s="91" t="n"/>
      <c r="F29" s="91" t="n"/>
      <c r="G29" s="91" t="n"/>
      <c r="H29" s="91" t="n"/>
      <c r="I29" s="91" t="n"/>
      <c r="J29" s="91" t="n"/>
    </row>
    <row r="30" ht="19.5" customHeight="1" s="54">
      <c r="A30" s="92" t="n"/>
      <c r="B30" s="92" t="n"/>
      <c r="C30" s="92" t="n"/>
      <c r="D30" s="92" t="n"/>
      <c r="E30" s="92" t="n"/>
      <c r="F30" s="92" t="n"/>
      <c r="G30" s="92" t="n"/>
      <c r="H30" s="92" t="n"/>
      <c r="I30" s="92" t="n"/>
      <c r="J30" s="92" t="n"/>
    </row>
    <row r="31" ht="19.5" customHeight="1" s="54">
      <c r="A31" s="91" t="n"/>
      <c r="B31" s="91" t="n"/>
      <c r="C31" s="91" t="n"/>
      <c r="D31" s="91" t="n"/>
      <c r="E31" s="91" t="n"/>
      <c r="F31" s="91" t="n"/>
      <c r="G31" s="91" t="n"/>
      <c r="H31" s="91" t="n"/>
      <c r="I31" s="91" t="n"/>
      <c r="J31" s="91" t="n"/>
    </row>
    <row r="32" ht="19.5" customHeight="1" s="54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</row>
    <row r="33" ht="19.5" customHeight="1" s="54">
      <c r="A33" s="91" t="n"/>
      <c r="B33" s="91" t="n"/>
      <c r="C33" s="91" t="n"/>
      <c r="D33" s="91" t="n"/>
      <c r="E33" s="91" t="n"/>
      <c r="F33" s="91" t="n"/>
      <c r="G33" s="91" t="n"/>
      <c r="H33" s="91" t="n"/>
      <c r="I33" s="91" t="n"/>
      <c r="J33" s="91" t="n"/>
    </row>
    <row r="34" ht="19.5" customHeight="1" s="5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</row>
    <row r="35" ht="19.5" customHeight="1" s="54">
      <c r="A35" s="91" t="n"/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</row>
    <row r="36" ht="19.5" customHeight="1" s="54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</row>
    <row r="37" ht="19.5" customHeight="1" s="54">
      <c r="A37" s="91" t="n"/>
      <c r="B37" s="91" t="n"/>
      <c r="C37" s="91" t="n"/>
      <c r="D37" s="91" t="n"/>
      <c r="E37" s="91" t="n"/>
      <c r="F37" s="91" t="n"/>
      <c r="G37" s="91" t="n"/>
      <c r="H37" s="91" t="n"/>
      <c r="I37" s="91" t="n"/>
      <c r="J37" s="91" t="n"/>
    </row>
    <row r="38" ht="19.5" customHeight="1" s="54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</row>
    <row r="39" ht="19.5" customHeight="1" s="54">
      <c r="A39" s="91" t="n"/>
      <c r="B39" s="91" t="n"/>
      <c r="C39" s="91" t="n"/>
      <c r="D39" s="91" t="n"/>
      <c r="E39" s="91" t="n"/>
      <c r="F39" s="91" t="n"/>
      <c r="G39" s="91" t="n"/>
      <c r="H39" s="91" t="n"/>
      <c r="I39" s="91" t="n"/>
      <c r="J39" s="91" t="n"/>
    </row>
    <row r="40" ht="19.5" customHeight="1" s="54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</row>
    <row r="41" ht="19.5" customHeight="1" s="54">
      <c r="A41" s="91" t="n"/>
      <c r="B41" s="91" t="n"/>
      <c r="C41" s="91" t="n"/>
      <c r="D41" s="91" t="n"/>
      <c r="E41" s="91" t="n"/>
      <c r="F41" s="91" t="n"/>
      <c r="G41" s="91" t="n"/>
      <c r="H41" s="91" t="n"/>
      <c r="I41" s="91" t="n"/>
      <c r="J41" s="91" t="n"/>
    </row>
    <row r="42" ht="19.5" customHeight="1" s="54">
      <c r="A42" s="92" t="n"/>
      <c r="B42" s="92" t="n"/>
      <c r="C42" s="92" t="n"/>
      <c r="D42" s="92" t="n"/>
      <c r="E42" s="92" t="n"/>
      <c r="F42" s="92" t="n"/>
      <c r="G42" s="92" t="n"/>
      <c r="H42" s="92" t="n"/>
      <c r="I42" s="92" t="n"/>
      <c r="J42" s="92" t="n"/>
    </row>
    <row r="43" ht="19.5" customHeight="1" s="54">
      <c r="A43" s="91" t="n"/>
      <c r="B43" s="91" t="n"/>
      <c r="C43" s="91" t="n"/>
      <c r="D43" s="91" t="n"/>
      <c r="E43" s="91" t="n"/>
      <c r="F43" s="91" t="n"/>
      <c r="G43" s="91" t="n"/>
      <c r="H43" s="91" t="n"/>
      <c r="I43" s="91" t="n"/>
      <c r="J43" s="91" t="n"/>
    </row>
    <row r="44" ht="19.5" customHeight="1" s="54">
      <c r="A44" s="92" t="n"/>
      <c r="B44" s="92" t="n"/>
      <c r="C44" s="92" t="n"/>
      <c r="D44" s="92" t="n"/>
      <c r="E44" s="92" t="n"/>
      <c r="F44" s="92" t="n"/>
      <c r="G44" s="92" t="n"/>
      <c r="H44" s="92" t="n"/>
      <c r="I44" s="92" t="n"/>
      <c r="J44" s="92" t="n"/>
    </row>
    <row r="45" ht="19.5" customHeight="1" s="54">
      <c r="A45" s="91" t="n"/>
      <c r="B45" s="91" t="n"/>
      <c r="C45" s="91" t="n"/>
      <c r="D45" s="91" t="n"/>
      <c r="E45" s="91" t="n"/>
      <c r="F45" s="91" t="n"/>
      <c r="G45" s="91" t="n"/>
      <c r="H45" s="91" t="n"/>
      <c r="I45" s="91" t="n"/>
      <c r="J45" s="91" t="n"/>
    </row>
    <row r="46" ht="19.5" customHeight="1" s="54">
      <c r="A46" s="92" t="n"/>
      <c r="B46" s="92" t="n"/>
      <c r="C46" s="92" t="n"/>
      <c r="D46" s="92" t="n"/>
      <c r="E46" s="92" t="n"/>
      <c r="F46" s="92" t="n"/>
      <c r="G46" s="92" t="n"/>
      <c r="H46" s="92" t="n"/>
      <c r="I46" s="92" t="n"/>
      <c r="J46" s="92" t="n"/>
    </row>
    <row r="47" ht="19.5" customHeight="1" s="54">
      <c r="A47" s="91" t="n"/>
      <c r="B47" s="91" t="n"/>
      <c r="C47" s="91" t="n"/>
      <c r="D47" s="91" t="n"/>
      <c r="E47" s="91" t="n"/>
      <c r="F47" s="91" t="n"/>
      <c r="G47" s="91" t="n"/>
      <c r="H47" s="91" t="n"/>
      <c r="I47" s="91" t="n"/>
      <c r="J47" s="91" t="n"/>
    </row>
    <row r="48" ht="19.5" customHeight="1" s="54">
      <c r="A48" s="92" t="n"/>
      <c r="B48" s="92" t="n"/>
      <c r="C48" s="92" t="n"/>
      <c r="D48" s="92" t="n"/>
      <c r="E48" s="92" t="n"/>
      <c r="F48" s="92" t="n"/>
      <c r="G48" s="92" t="n"/>
      <c r="H48" s="92" t="n"/>
      <c r="I48" s="92" t="n"/>
      <c r="J48" s="92" t="n"/>
    </row>
    <row r="49" ht="19.5" customHeight="1" s="54">
      <c r="A49" s="91" t="n"/>
      <c r="B49" s="91" t="n"/>
      <c r="C49" s="91" t="n"/>
      <c r="D49" s="91" t="n"/>
      <c r="E49" s="91" t="n"/>
      <c r="F49" s="91" t="n"/>
      <c r="G49" s="91" t="n"/>
      <c r="H49" s="91" t="n"/>
      <c r="I49" s="91" t="n"/>
      <c r="J49" s="91" t="n"/>
    </row>
    <row r="50" ht="19.5" customHeight="1" s="54">
      <c r="A50" s="92" t="n"/>
      <c r="B50" s="92" t="n"/>
      <c r="C50" s="92" t="n"/>
      <c r="D50" s="92" t="n"/>
      <c r="E50" s="92" t="n"/>
      <c r="F50" s="92" t="n"/>
      <c r="G50" s="92" t="n"/>
      <c r="H50" s="92" t="n"/>
      <c r="I50" s="92" t="n"/>
      <c r="J50" s="92" t="n"/>
    </row>
    <row r="51" ht="19.5" customHeight="1" s="54">
      <c r="A51" s="91" t="n"/>
      <c r="B51" s="91" t="n"/>
      <c r="C51" s="91" t="n"/>
      <c r="D51" s="91" t="n"/>
      <c r="E51" s="91" t="n"/>
      <c r="F51" s="91" t="n"/>
      <c r="G51" s="91" t="n"/>
      <c r="H51" s="91" t="n"/>
      <c r="I51" s="91" t="n"/>
      <c r="J51" s="91" t="n"/>
    </row>
    <row r="52" ht="19.5" customHeight="1" s="54">
      <c r="A52" s="92" t="n"/>
      <c r="B52" s="92" t="n"/>
      <c r="C52" s="92" t="n"/>
      <c r="D52" s="92" t="n"/>
      <c r="E52" s="92" t="n"/>
      <c r="F52" s="92" t="n"/>
      <c r="G52" s="92" t="n"/>
      <c r="H52" s="92" t="n"/>
      <c r="I52" s="92" t="n"/>
      <c r="J52" s="92" t="n"/>
    </row>
    <row r="53" ht="19.5" customHeight="1" s="54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</row>
    <row r="54" ht="19.5" customHeight="1" s="54">
      <c r="A54" s="92" t="n"/>
      <c r="B54" s="92" t="n"/>
      <c r="C54" s="92" t="n"/>
      <c r="D54" s="92" t="n"/>
      <c r="E54" s="92" t="n"/>
      <c r="F54" s="92" t="n"/>
      <c r="G54" s="92" t="n"/>
      <c r="H54" s="92" t="n"/>
      <c r="I54" s="92" t="n"/>
      <c r="J54" s="92" t="n"/>
    </row>
    <row r="55" ht="19.5" customHeight="1" s="54">
      <c r="A55" s="91" t="n"/>
      <c r="B55" s="91" t="n"/>
      <c r="C55" s="91" t="n"/>
      <c r="D55" s="91" t="n"/>
      <c r="E55" s="91" t="n"/>
      <c r="F55" s="91" t="n"/>
      <c r="G55" s="91" t="n"/>
      <c r="H55" s="91" t="n"/>
      <c r="I55" s="91" t="n"/>
      <c r="J55" s="91" t="n"/>
    </row>
    <row r="56" ht="19.5" customHeight="1" s="54">
      <c r="A56" s="92" t="n"/>
      <c r="B56" s="92" t="n"/>
      <c r="C56" s="92" t="n"/>
      <c r="D56" s="92" t="n"/>
      <c r="E56" s="92" t="n"/>
      <c r="F56" s="92" t="n"/>
      <c r="G56" s="92" t="n"/>
      <c r="H56" s="92" t="n"/>
      <c r="I56" s="92" t="n"/>
      <c r="J56" s="92" t="n"/>
    </row>
    <row r="57" ht="19.5" customHeight="1" s="54">
      <c r="A57" s="91" t="n"/>
      <c r="B57" s="91" t="n"/>
      <c r="C57" s="91" t="n"/>
      <c r="D57" s="91" t="n"/>
      <c r="E57" s="91" t="n"/>
      <c r="F57" s="91" t="n"/>
      <c r="G57" s="91" t="n"/>
      <c r="H57" s="91" t="n"/>
      <c r="I57" s="91" t="n"/>
      <c r="J57" s="91" t="n"/>
    </row>
    <row r="58" ht="19.5" customHeight="1" s="54">
      <c r="A58" s="92" t="n"/>
      <c r="B58" s="92" t="n"/>
      <c r="C58" s="92" t="n"/>
      <c r="D58" s="92" t="n"/>
      <c r="E58" s="92" t="n"/>
      <c r="F58" s="92" t="n"/>
      <c r="G58" s="92" t="n"/>
      <c r="H58" s="92" t="n"/>
      <c r="I58" s="92" t="n"/>
      <c r="J58" s="92" t="n"/>
    </row>
    <row r="59" ht="19.5" customHeight="1" s="54">
      <c r="A59" s="91" t="n"/>
      <c r="B59" s="91" t="n"/>
      <c r="C59" s="91" t="n"/>
      <c r="D59" s="91" t="n"/>
      <c r="E59" s="91" t="n"/>
      <c r="F59" s="91" t="n"/>
      <c r="G59" s="91" t="n"/>
      <c r="H59" s="91" t="n"/>
      <c r="I59" s="91" t="n"/>
      <c r="J59" s="91" t="n"/>
    </row>
    <row r="60" ht="19.5" customHeight="1" s="54">
      <c r="A60" s="92" t="n"/>
      <c r="B60" s="92" t="n"/>
      <c r="C60" s="92" t="n"/>
      <c r="D60" s="92" t="n"/>
      <c r="E60" s="92" t="n"/>
      <c r="F60" s="92" t="n"/>
      <c r="G60" s="92" t="n"/>
      <c r="H60" s="92" t="n"/>
      <c r="I60" s="92" t="n"/>
      <c r="J60" s="92" t="n"/>
    </row>
    <row r="61" ht="19.5" customHeight="1" s="54">
      <c r="A61" s="91" t="n"/>
      <c r="B61" s="91" t="n"/>
      <c r="C61" s="91" t="n"/>
      <c r="D61" s="91" t="n"/>
      <c r="E61" s="91" t="n"/>
      <c r="F61" s="91" t="n"/>
      <c r="G61" s="91" t="n"/>
      <c r="H61" s="91" t="n"/>
      <c r="I61" s="91" t="n"/>
      <c r="J61" s="91" t="n"/>
    </row>
    <row r="62" ht="19.5" customHeight="1" s="54">
      <c r="A62" s="92" t="n"/>
      <c r="B62" s="92" t="n"/>
      <c r="C62" s="92" t="n"/>
      <c r="D62" s="92" t="n"/>
      <c r="E62" s="92" t="n"/>
      <c r="F62" s="92" t="n"/>
      <c r="G62" s="92" t="n"/>
      <c r="H62" s="92" t="n"/>
      <c r="I62" s="92" t="n"/>
      <c r="J62" s="92" t="n"/>
    </row>
    <row r="63" ht="19.5" customHeight="1" s="54">
      <c r="A63" s="91" t="n"/>
      <c r="B63" s="91" t="n"/>
      <c r="C63" s="91" t="n"/>
      <c r="D63" s="91" t="n"/>
      <c r="E63" s="91" t="n"/>
      <c r="F63" s="91" t="n"/>
      <c r="G63" s="91" t="n"/>
      <c r="H63" s="91" t="n"/>
      <c r="I63" s="91" t="n"/>
      <c r="J63" s="91" t="n"/>
    </row>
    <row r="64" ht="19.5" customHeight="1" s="54">
      <c r="A64" s="92" t="n"/>
      <c r="B64" s="92" t="n"/>
      <c r="C64" s="92" t="n"/>
      <c r="D64" s="92" t="n"/>
      <c r="E64" s="92" t="n"/>
      <c r="F64" s="92" t="n"/>
      <c r="G64" s="92" t="n"/>
      <c r="H64" s="92" t="n"/>
      <c r="I64" s="92" t="n"/>
      <c r="J64" s="92" t="n"/>
    </row>
    <row r="65" ht="19.5" customHeight="1" s="54">
      <c r="A65" s="91" t="n"/>
      <c r="B65" s="91" t="n"/>
      <c r="C65" s="91" t="n"/>
      <c r="D65" s="91" t="n"/>
      <c r="E65" s="91" t="n"/>
      <c r="F65" s="91" t="n"/>
      <c r="G65" s="91" t="n"/>
      <c r="H65" s="91" t="n"/>
      <c r="I65" s="91" t="n"/>
      <c r="J65" s="91" t="n"/>
    </row>
    <row r="66" ht="19.5" customHeight="1" s="54">
      <c r="A66" s="92" t="n"/>
      <c r="B66" s="92" t="n"/>
      <c r="C66" s="92" t="n"/>
      <c r="D66" s="92" t="n"/>
      <c r="E66" s="92" t="n"/>
      <c r="F66" s="92" t="n"/>
      <c r="G66" s="92" t="n"/>
      <c r="H66" s="92" t="n"/>
      <c r="I66" s="92" t="n"/>
      <c r="J66" s="92" t="n"/>
    </row>
    <row r="67" ht="19.5" customHeight="1" s="54">
      <c r="A67" s="91" t="n"/>
      <c r="B67" s="91" t="n"/>
      <c r="C67" s="91" t="n"/>
      <c r="D67" s="91" t="n"/>
      <c r="E67" s="91" t="n"/>
      <c r="F67" s="91" t="n"/>
      <c r="G67" s="91" t="n"/>
      <c r="H67" s="91" t="n"/>
      <c r="I67" s="91" t="n"/>
      <c r="J67" s="91" t="n"/>
    </row>
    <row r="68" ht="19.5" customHeight="1" s="54">
      <c r="A68" s="92" t="n"/>
      <c r="B68" s="92" t="n"/>
      <c r="C68" s="92" t="n"/>
      <c r="D68" s="92" t="n"/>
      <c r="E68" s="92" t="n"/>
      <c r="F68" s="92" t="n"/>
      <c r="G68" s="92" t="n"/>
      <c r="H68" s="92" t="n"/>
      <c r="I68" s="92" t="n"/>
      <c r="J68" s="92" t="n"/>
    </row>
    <row r="69" ht="19.5" customHeight="1" s="54">
      <c r="A69" s="91" t="n"/>
      <c r="B69" s="91" t="n"/>
      <c r="C69" s="91" t="n"/>
      <c r="D69" s="91" t="n"/>
      <c r="E69" s="91" t="n"/>
      <c r="F69" s="91" t="n"/>
      <c r="G69" s="91" t="n"/>
      <c r="H69" s="91" t="n"/>
      <c r="I69" s="91" t="n"/>
      <c r="J69" s="91" t="n"/>
    </row>
    <row r="70" ht="19.5" customHeight="1" s="54">
      <c r="A70" s="92" t="n"/>
      <c r="B70" s="92" t="n"/>
      <c r="C70" s="92" t="n"/>
      <c r="D70" s="92" t="n"/>
      <c r="E70" s="92" t="n"/>
      <c r="F70" s="92" t="n"/>
      <c r="G70" s="92" t="n"/>
      <c r="H70" s="92" t="n"/>
      <c r="I70" s="92" t="n"/>
      <c r="J70" s="92" t="n"/>
    </row>
    <row r="71" ht="19.5" customHeight="1" s="54">
      <c r="A71" s="91" t="n"/>
      <c r="B71" s="91" t="n"/>
      <c r="C71" s="91" t="n"/>
      <c r="D71" s="91" t="n"/>
      <c r="E71" s="91" t="n"/>
      <c r="F71" s="91" t="n"/>
      <c r="G71" s="91" t="n"/>
      <c r="H71" s="91" t="n"/>
      <c r="I71" s="91" t="n"/>
      <c r="J71" s="91" t="n"/>
    </row>
    <row r="72" ht="19.5" customHeight="1" s="54">
      <c r="A72" s="92" t="n"/>
      <c r="B72" s="92" t="n"/>
      <c r="C72" s="92" t="n"/>
      <c r="D72" s="92" t="n"/>
      <c r="E72" s="92" t="n"/>
      <c r="F72" s="92" t="n"/>
      <c r="G72" s="92" t="n"/>
      <c r="H72" s="92" t="n"/>
      <c r="I72" s="92" t="n"/>
      <c r="J72" s="92" t="n"/>
    </row>
    <row r="73" ht="19.5" customHeight="1" s="54">
      <c r="A73" s="91" t="n"/>
      <c r="B73" s="91" t="n"/>
      <c r="C73" s="91" t="n"/>
      <c r="D73" s="91" t="n"/>
      <c r="E73" s="91" t="n"/>
      <c r="F73" s="91" t="n"/>
      <c r="G73" s="91" t="n"/>
      <c r="H73" s="91" t="n"/>
      <c r="I73" s="91" t="n"/>
      <c r="J73" s="91" t="n"/>
    </row>
    <row r="74" ht="19.5" customHeight="1" s="54">
      <c r="A74" s="92" t="n"/>
      <c r="B74" s="92" t="n"/>
      <c r="C74" s="92" t="n"/>
      <c r="D74" s="92" t="n"/>
      <c r="E74" s="92" t="n"/>
      <c r="F74" s="92" t="n"/>
      <c r="G74" s="92" t="n"/>
      <c r="H74" s="92" t="n"/>
      <c r="I74" s="92" t="n"/>
      <c r="J74" s="92" t="n"/>
    </row>
    <row r="75" ht="19.5" customHeight="1" s="54">
      <c r="A75" s="91" t="n"/>
      <c r="B75" s="91" t="n"/>
      <c r="C75" s="91" t="n"/>
      <c r="D75" s="91" t="n"/>
      <c r="E75" s="91" t="n"/>
      <c r="F75" s="91" t="n"/>
      <c r="G75" s="91" t="n"/>
      <c r="H75" s="91" t="n"/>
      <c r="I75" s="91" t="n"/>
      <c r="J75" s="91" t="n"/>
    </row>
    <row r="76" ht="19.5" customHeight="1" s="54">
      <c r="A76" s="92" t="n"/>
      <c r="B76" s="92" t="n"/>
      <c r="C76" s="92" t="n"/>
      <c r="D76" s="92" t="n"/>
      <c r="E76" s="92" t="n"/>
      <c r="F76" s="92" t="n"/>
      <c r="G76" s="92" t="n"/>
      <c r="H76" s="92" t="n"/>
      <c r="I76" s="92" t="n"/>
      <c r="J76" s="92" t="n"/>
    </row>
    <row r="77" ht="19.5" customHeight="1" s="54">
      <c r="A77" s="91" t="n"/>
      <c r="B77" s="91" t="n"/>
      <c r="C77" s="91" t="n"/>
      <c r="D77" s="91" t="n"/>
      <c r="E77" s="91" t="n"/>
      <c r="F77" s="91" t="n"/>
      <c r="G77" s="91" t="n"/>
      <c r="H77" s="91" t="n"/>
      <c r="I77" s="91" t="n"/>
      <c r="J77" s="91" t="n"/>
    </row>
    <row r="78" ht="19.5" customHeight="1" s="54">
      <c r="A78" s="92" t="n"/>
      <c r="B78" s="92" t="n"/>
      <c r="C78" s="92" t="n"/>
      <c r="D78" s="92" t="n"/>
      <c r="E78" s="92" t="n"/>
      <c r="F78" s="92" t="n"/>
      <c r="G78" s="92" t="n"/>
      <c r="H78" s="92" t="n"/>
      <c r="I78" s="92" t="n"/>
      <c r="J78" s="92" t="n"/>
    </row>
    <row r="79" ht="19.5" customHeight="1" s="54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</row>
    <row r="80" ht="19.5" customHeight="1" s="54">
      <c r="A80" s="92" t="n"/>
      <c r="B80" s="92" t="n"/>
      <c r="C80" s="92" t="n"/>
      <c r="D80" s="92" t="n"/>
      <c r="E80" s="92" t="n"/>
      <c r="F80" s="92" t="n"/>
      <c r="G80" s="92" t="n"/>
      <c r="H80" s="92" t="n"/>
      <c r="I80" s="92" t="n"/>
      <c r="J80" s="92" t="n"/>
    </row>
    <row r="81" ht="19.5" customHeight="1" s="54">
      <c r="A81" s="91" t="n"/>
      <c r="B81" s="91" t="n"/>
      <c r="C81" s="91" t="n"/>
      <c r="D81" s="91" t="n"/>
      <c r="E81" s="91" t="n"/>
      <c r="F81" s="91" t="n"/>
      <c r="G81" s="91" t="n"/>
      <c r="H81" s="91" t="n"/>
      <c r="I81" s="91" t="n"/>
      <c r="J81" s="91" t="n"/>
    </row>
    <row r="82" ht="19.5" customHeight="1" s="54">
      <c r="A82" s="92" t="n"/>
      <c r="B82" s="92" t="n"/>
      <c r="C82" s="92" t="n"/>
      <c r="D82" s="92" t="n"/>
      <c r="E82" s="92" t="n"/>
      <c r="F82" s="92" t="n"/>
      <c r="G82" s="92" t="n"/>
      <c r="H82" s="92" t="n"/>
      <c r="I82" s="92" t="n"/>
      <c r="J82" s="92" t="n"/>
    </row>
    <row r="83" ht="19.5" customHeight="1" s="54">
      <c r="A83" s="91" t="n"/>
      <c r="B83" s="91" t="n"/>
      <c r="C83" s="91" t="n"/>
      <c r="D83" s="91" t="n"/>
      <c r="E83" s="91" t="n"/>
      <c r="F83" s="91" t="n"/>
      <c r="G83" s="91" t="n"/>
      <c r="H83" s="91" t="n"/>
      <c r="I83" s="91" t="n"/>
      <c r="J83" s="91" t="n"/>
    </row>
    <row r="84" ht="19.5" customHeight="1" s="54">
      <c r="A84" s="92" t="n"/>
      <c r="B84" s="92" t="n"/>
      <c r="C84" s="92" t="n"/>
      <c r="D84" s="92" t="n"/>
      <c r="E84" s="92" t="n"/>
      <c r="F84" s="92" t="n"/>
      <c r="G84" s="92" t="n"/>
      <c r="H84" s="92" t="n"/>
      <c r="I84" s="92" t="n"/>
      <c r="J84" s="92" t="n"/>
    </row>
    <row r="85" ht="19.5" customHeight="1" s="54">
      <c r="A85" s="91" t="n"/>
      <c r="B85" s="91" t="n"/>
      <c r="C85" s="91" t="n"/>
      <c r="D85" s="91" t="n"/>
      <c r="E85" s="91" t="n"/>
      <c r="F85" s="91" t="n"/>
      <c r="G85" s="91" t="n"/>
      <c r="H85" s="91" t="n"/>
      <c r="I85" s="91" t="n"/>
      <c r="J85" s="91" t="n"/>
    </row>
    <row r="86" ht="19.5" customHeight="1" s="54">
      <c r="A86" s="92" t="n"/>
      <c r="B86" s="92" t="n"/>
      <c r="C86" s="92" t="n"/>
      <c r="D86" s="92" t="n"/>
      <c r="E86" s="92" t="n"/>
      <c r="F86" s="92" t="n"/>
      <c r="G86" s="92" t="n"/>
      <c r="H86" s="92" t="n"/>
      <c r="I86" s="92" t="n"/>
      <c r="J86" s="92" t="n"/>
    </row>
    <row r="87" ht="19.5" customHeight="1" s="54">
      <c r="A87" s="91" t="n"/>
      <c r="B87" s="91" t="n"/>
      <c r="C87" s="91" t="n"/>
      <c r="D87" s="91" t="n"/>
      <c r="E87" s="91" t="n"/>
      <c r="F87" s="91" t="n"/>
      <c r="G87" s="91" t="n"/>
      <c r="H87" s="91" t="n"/>
      <c r="I87" s="91" t="n"/>
      <c r="J87" s="91" t="n"/>
    </row>
    <row r="88" ht="19.5" customHeight="1" s="54">
      <c r="A88" s="92" t="n"/>
      <c r="B88" s="92" t="n"/>
      <c r="C88" s="92" t="n"/>
      <c r="D88" s="92" t="n"/>
      <c r="E88" s="92" t="n"/>
      <c r="F88" s="92" t="n"/>
      <c r="G88" s="92" t="n"/>
      <c r="H88" s="92" t="n"/>
      <c r="I88" s="92" t="n"/>
      <c r="J88" s="92" t="n"/>
    </row>
    <row r="89" ht="19.5" customHeight="1" s="54">
      <c r="A89" s="91" t="n"/>
      <c r="B89" s="91" t="n"/>
      <c r="C89" s="91" t="n"/>
      <c r="D89" s="91" t="n"/>
      <c r="E89" s="91" t="n"/>
      <c r="F89" s="91" t="n"/>
      <c r="G89" s="91" t="n"/>
      <c r="H89" s="91" t="n"/>
      <c r="I89" s="91" t="n"/>
      <c r="J89" s="91" t="n"/>
    </row>
    <row r="90" ht="19.5" customHeight="1" s="54">
      <c r="A90" s="92" t="n"/>
      <c r="B90" s="92" t="n"/>
      <c r="C90" s="92" t="n"/>
      <c r="D90" s="92" t="n"/>
      <c r="E90" s="92" t="n"/>
      <c r="F90" s="92" t="n"/>
      <c r="G90" s="92" t="n"/>
      <c r="H90" s="92" t="n"/>
      <c r="I90" s="92" t="n"/>
      <c r="J90" s="92" t="n"/>
    </row>
    <row r="91" ht="19.5" customHeight="1" s="54">
      <c r="A91" s="91" t="n"/>
      <c r="B91" s="91" t="n"/>
      <c r="C91" s="91" t="n"/>
      <c r="D91" s="91" t="n"/>
      <c r="E91" s="91" t="n"/>
      <c r="F91" s="91" t="n"/>
      <c r="G91" s="91" t="n"/>
      <c r="H91" s="91" t="n"/>
      <c r="I91" s="91" t="n"/>
      <c r="J91" s="91" t="n"/>
    </row>
    <row r="92" ht="19.5" customHeight="1" s="54">
      <c r="A92" s="92" t="n"/>
      <c r="B92" s="92" t="n"/>
      <c r="C92" s="92" t="n"/>
      <c r="D92" s="92" t="n"/>
      <c r="E92" s="92" t="n"/>
      <c r="F92" s="92" t="n"/>
      <c r="G92" s="92" t="n"/>
      <c r="H92" s="92" t="n"/>
      <c r="I92" s="92" t="n"/>
      <c r="J92" s="92" t="n"/>
    </row>
    <row r="93" ht="19.5" customHeight="1" s="54">
      <c r="A93" s="91" t="n"/>
      <c r="B93" s="91" t="n"/>
      <c r="C93" s="91" t="n"/>
      <c r="D93" s="91" t="n"/>
      <c r="E93" s="91" t="n"/>
      <c r="F93" s="91" t="n"/>
      <c r="G93" s="91" t="n"/>
      <c r="H93" s="91" t="n"/>
      <c r="I93" s="91" t="n"/>
      <c r="J93" s="91" t="n"/>
    </row>
    <row r="94" ht="19.5" customHeight="1" s="54">
      <c r="A94" s="92" t="n"/>
      <c r="B94" s="92" t="n"/>
      <c r="C94" s="92" t="n"/>
      <c r="D94" s="92" t="n"/>
      <c r="E94" s="92" t="n"/>
      <c r="F94" s="92" t="n"/>
      <c r="G94" s="92" t="n"/>
      <c r="H94" s="92" t="n"/>
      <c r="I94" s="92" t="n"/>
      <c r="J94" s="92" t="n"/>
    </row>
    <row r="95" ht="19.5" customHeight="1" s="54">
      <c r="A95" s="91" t="n"/>
      <c r="B95" s="91" t="n"/>
      <c r="C95" s="91" t="n"/>
      <c r="D95" s="91" t="n"/>
      <c r="E95" s="91" t="n"/>
      <c r="F95" s="91" t="n"/>
      <c r="G95" s="91" t="n"/>
      <c r="H95" s="91" t="n"/>
      <c r="I95" s="91" t="n"/>
      <c r="J95" s="91" t="n"/>
    </row>
    <row r="96" ht="19.5" customHeight="1" s="54">
      <c r="A96" s="92" t="n"/>
      <c r="B96" s="92" t="n"/>
      <c r="C96" s="92" t="n"/>
      <c r="D96" s="92" t="n"/>
      <c r="E96" s="92" t="n"/>
      <c r="F96" s="92" t="n"/>
      <c r="G96" s="92" t="n"/>
      <c r="H96" s="92" t="n"/>
      <c r="I96" s="92" t="n"/>
      <c r="J96" s="92" t="n"/>
    </row>
    <row r="97" ht="19.5" customHeight="1" s="54">
      <c r="A97" s="91" t="n"/>
      <c r="B97" s="91" t="n"/>
      <c r="C97" s="91" t="n"/>
      <c r="D97" s="91" t="n"/>
      <c r="E97" s="91" t="n"/>
      <c r="F97" s="91" t="n"/>
      <c r="G97" s="91" t="n"/>
      <c r="H97" s="91" t="n"/>
      <c r="I97" s="91" t="n"/>
      <c r="J97" s="91" t="n"/>
    </row>
    <row r="98" ht="19.5" customHeight="1" s="54">
      <c r="A98" s="92" t="n"/>
      <c r="B98" s="92" t="n"/>
      <c r="C98" s="92" t="n"/>
      <c r="D98" s="92" t="n"/>
      <c r="E98" s="92" t="n"/>
      <c r="F98" s="92" t="n"/>
      <c r="G98" s="92" t="n"/>
      <c r="H98" s="92" t="n"/>
      <c r="I98" s="92" t="n"/>
      <c r="J98" s="92" t="n"/>
    </row>
    <row r="99" ht="19.5" customHeight="1" s="54">
      <c r="A99" s="91" t="n"/>
      <c r="B99" s="91" t="n"/>
      <c r="C99" s="91" t="n"/>
      <c r="D99" s="91" t="n"/>
      <c r="E99" s="91" t="n"/>
      <c r="F99" s="91" t="n"/>
      <c r="G99" s="91" t="n"/>
      <c r="H99" s="91" t="n"/>
      <c r="I99" s="91" t="n"/>
      <c r="J99" s="91" t="n"/>
    </row>
    <row r="100" ht="19.5" customHeight="1" s="54">
      <c r="A100" s="92" t="n"/>
      <c r="B100" s="92" t="n"/>
      <c r="C100" s="92" t="n"/>
      <c r="D100" s="92" t="n"/>
      <c r="E100" s="92" t="n"/>
      <c r="F100" s="92" t="n"/>
      <c r="G100" s="92" t="n"/>
      <c r="H100" s="92" t="n"/>
      <c r="I100" s="92" t="n"/>
      <c r="J100" s="92" t="n"/>
    </row>
    <row r="101" ht="19.5" customHeight="1" s="54">
      <c r="A101" s="91" t="n"/>
      <c r="B101" s="91" t="n"/>
      <c r="C101" s="91" t="n"/>
      <c r="D101" s="91" t="n"/>
      <c r="E101" s="91" t="n"/>
      <c r="F101" s="91" t="n"/>
      <c r="G101" s="91" t="n"/>
      <c r="H101" s="91" t="n"/>
      <c r="I101" s="91" t="n"/>
      <c r="J101" s="91" t="n"/>
    </row>
    <row r="102" ht="19.5" customHeight="1" s="54">
      <c r="A102" s="92" t="n"/>
      <c r="B102" s="92" t="n"/>
      <c r="C102" s="92" t="n"/>
      <c r="D102" s="92" t="n"/>
      <c r="E102" s="92" t="n"/>
      <c r="F102" s="92" t="n"/>
      <c r="G102" s="92" t="n"/>
      <c r="H102" s="92" t="n"/>
      <c r="I102" s="92" t="n"/>
      <c r="J102" s="92" t="n"/>
    </row>
  </sheetData>
  <autoFilter ref="A2:J2"/>
  <mergeCells count="1">
    <mergeCell ref="A1:J1"/>
  </mergeCells>
  <dataValidations count="1">
    <dataValidation sqref="F3:I102" showDropDown="0" showInputMessage="0" showErrorMessage="1" allowBlank="0" type="list" errorStyle="stop" operator="between">
      <formula1>"Yes,No,TBD"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53" min="1" max="1"/>
    <col width="24" customWidth="1" style="53" min="2" max="2"/>
    <col width="35" customWidth="1" style="53" min="3" max="3"/>
    <col width="18" customWidth="1" style="53" min="4" max="8"/>
  </cols>
  <sheetData>
    <row r="1" ht="30" customHeight="1" s="54">
      <c r="A1" s="55" t="inlineStr">
        <is>
          <t>ROLE-BASED ACCESS CONTROL (RBAC)</t>
        </is>
      </c>
    </row>
    <row r="2" ht="21.75" customHeight="1" s="54">
      <c r="A2" s="93" t="inlineStr">
        <is>
          <t>Legend:  ✓ = Access permitted   |   ✗ = No access   |   − = Not applicable   |   C = Conditional access</t>
        </is>
      </c>
    </row>
    <row r="3" ht="19.5" customHeight="1" s="54">
      <c r="A3" s="58" t="inlineStr">
        <is>
          <t>S/N</t>
        </is>
      </c>
      <c r="B3" s="58" t="inlineStr">
        <is>
          <t>Epic / Feature Group</t>
        </is>
      </c>
      <c r="C3" s="58" t="inlineStr">
        <is>
          <t>Feature</t>
        </is>
      </c>
      <c r="D3" s="58" t="inlineStr">
        <is>
          <t>Role 1</t>
        </is>
      </c>
      <c r="E3" s="58" t="inlineStr">
        <is>
          <t>Role 2</t>
        </is>
      </c>
      <c r="F3" s="58" t="inlineStr">
        <is>
          <t>Role 3</t>
        </is>
      </c>
      <c r="G3" s="58" t="inlineStr">
        <is>
          <t>Role 4</t>
        </is>
      </c>
      <c r="H3" s="58" t="inlineStr">
        <is>
          <t>Role 5</t>
        </is>
      </c>
    </row>
    <row r="4" ht="21.75" customHeight="1" s="54">
      <c r="A4" s="92" t="n"/>
      <c r="B4" s="92" t="n"/>
      <c r="C4" s="92" t="n"/>
      <c r="D4" s="92" t="n"/>
      <c r="E4" s="92" t="n"/>
      <c r="F4" s="92" t="n"/>
      <c r="G4" s="92" t="n"/>
      <c r="H4" s="92" t="n"/>
    </row>
    <row r="5" ht="21.75" customHeight="1" s="54">
      <c r="A5" s="91" t="n"/>
      <c r="B5" s="91" t="n"/>
      <c r="C5" s="91" t="n"/>
      <c r="D5" s="91" t="n"/>
      <c r="E5" s="91" t="n"/>
      <c r="F5" s="91" t="n"/>
      <c r="G5" s="91" t="n"/>
      <c r="H5" s="91" t="n"/>
    </row>
    <row r="6" ht="21.75" customHeight="1" s="54">
      <c r="A6" s="92" t="n"/>
      <c r="B6" s="92" t="n"/>
      <c r="C6" s="92" t="n"/>
      <c r="D6" s="92" t="n"/>
      <c r="E6" s="92" t="n"/>
      <c r="F6" s="92" t="n"/>
      <c r="G6" s="92" t="n"/>
      <c r="H6" s="92" t="n"/>
    </row>
    <row r="7" ht="21.75" customHeight="1" s="54">
      <c r="A7" s="91" t="n"/>
      <c r="B7" s="91" t="n"/>
      <c r="C7" s="91" t="n"/>
      <c r="D7" s="91" t="n"/>
      <c r="E7" s="91" t="n"/>
      <c r="F7" s="91" t="n"/>
      <c r="G7" s="91" t="n"/>
      <c r="H7" s="91" t="n"/>
    </row>
    <row r="8" ht="21.75" customHeight="1" s="54">
      <c r="A8" s="92" t="n"/>
      <c r="B8" s="92" t="n"/>
      <c r="C8" s="92" t="n"/>
      <c r="D8" s="92" t="n"/>
      <c r="E8" s="92" t="n"/>
      <c r="F8" s="92" t="n"/>
      <c r="G8" s="92" t="n"/>
      <c r="H8" s="92" t="n"/>
    </row>
    <row r="9" ht="21.75" customHeight="1" s="54">
      <c r="A9" s="91" t="n"/>
      <c r="B9" s="91" t="n"/>
      <c r="C9" s="91" t="n"/>
      <c r="D9" s="91" t="n"/>
      <c r="E9" s="91" t="n"/>
      <c r="F9" s="91" t="n"/>
      <c r="G9" s="91" t="n"/>
      <c r="H9" s="91" t="n"/>
    </row>
    <row r="10" ht="21.75" customHeight="1" s="54">
      <c r="A10" s="92" t="n"/>
      <c r="B10" s="92" t="n"/>
      <c r="C10" s="92" t="n"/>
      <c r="D10" s="92" t="n"/>
      <c r="E10" s="92" t="n"/>
      <c r="F10" s="92" t="n"/>
      <c r="G10" s="92" t="n"/>
      <c r="H10" s="92" t="n"/>
    </row>
    <row r="11" ht="21.75" customHeight="1" s="54">
      <c r="A11" s="91" t="n"/>
      <c r="B11" s="91" t="n"/>
      <c r="C11" s="91" t="n"/>
      <c r="D11" s="91" t="n"/>
      <c r="E11" s="91" t="n"/>
      <c r="F11" s="91" t="n"/>
      <c r="G11" s="91" t="n"/>
      <c r="H11" s="91" t="n"/>
    </row>
    <row r="12" ht="21.75" customHeight="1" s="54">
      <c r="A12" s="92" t="n"/>
      <c r="B12" s="92" t="n"/>
      <c r="C12" s="92" t="n"/>
      <c r="D12" s="92" t="n"/>
      <c r="E12" s="92" t="n"/>
      <c r="F12" s="92" t="n"/>
      <c r="G12" s="92" t="n"/>
      <c r="H12" s="92" t="n"/>
    </row>
    <row r="13" ht="21.75" customHeight="1" s="54">
      <c r="A13" s="91" t="n"/>
      <c r="B13" s="91" t="n"/>
      <c r="C13" s="91" t="n"/>
      <c r="D13" s="91" t="n"/>
      <c r="E13" s="91" t="n"/>
      <c r="F13" s="91" t="n"/>
      <c r="G13" s="91" t="n"/>
      <c r="H13" s="91" t="n"/>
    </row>
    <row r="14" ht="21.75" customHeight="1" s="54">
      <c r="A14" s="92" t="n"/>
      <c r="B14" s="92" t="n"/>
      <c r="C14" s="92" t="n"/>
      <c r="D14" s="92" t="n"/>
      <c r="E14" s="92" t="n"/>
      <c r="F14" s="92" t="n"/>
      <c r="G14" s="92" t="n"/>
      <c r="H14" s="92" t="n"/>
    </row>
    <row r="15" ht="21.75" customHeight="1" s="54">
      <c r="A15" s="91" t="n"/>
      <c r="B15" s="91" t="n"/>
      <c r="C15" s="91" t="n"/>
      <c r="D15" s="91" t="n"/>
      <c r="E15" s="91" t="n"/>
      <c r="F15" s="91" t="n"/>
      <c r="G15" s="91" t="n"/>
      <c r="H15" s="91" t="n"/>
    </row>
    <row r="16" ht="21.75" customHeight="1" s="54">
      <c r="A16" s="92" t="n"/>
      <c r="B16" s="92" t="n"/>
      <c r="C16" s="92" t="n"/>
      <c r="D16" s="92" t="n"/>
      <c r="E16" s="92" t="n"/>
      <c r="F16" s="92" t="n"/>
      <c r="G16" s="92" t="n"/>
      <c r="H16" s="92" t="n"/>
    </row>
    <row r="17" ht="21.75" customHeight="1" s="54">
      <c r="A17" s="91" t="n"/>
      <c r="B17" s="91" t="n"/>
      <c r="C17" s="91" t="n"/>
      <c r="D17" s="91" t="n"/>
      <c r="E17" s="91" t="n"/>
      <c r="F17" s="91" t="n"/>
      <c r="G17" s="91" t="n"/>
      <c r="H17" s="91" t="n"/>
    </row>
    <row r="18" ht="21.75" customHeight="1" s="54">
      <c r="A18" s="92" t="n"/>
      <c r="B18" s="92" t="n"/>
      <c r="C18" s="92" t="n"/>
      <c r="D18" s="92" t="n"/>
      <c r="E18" s="92" t="n"/>
      <c r="F18" s="92" t="n"/>
      <c r="G18" s="92" t="n"/>
      <c r="H18" s="92" t="n"/>
    </row>
    <row r="19" ht="21.75" customHeight="1" s="54">
      <c r="A19" s="91" t="n"/>
      <c r="B19" s="91" t="n"/>
      <c r="C19" s="91" t="n"/>
      <c r="D19" s="91" t="n"/>
      <c r="E19" s="91" t="n"/>
      <c r="F19" s="91" t="n"/>
      <c r="G19" s="91" t="n"/>
      <c r="H19" s="91" t="n"/>
    </row>
    <row r="20" ht="21.75" customHeight="1" s="54">
      <c r="A20" s="92" t="n"/>
      <c r="B20" s="92" t="n"/>
      <c r="C20" s="92" t="n"/>
      <c r="D20" s="92" t="n"/>
      <c r="E20" s="92" t="n"/>
      <c r="F20" s="92" t="n"/>
      <c r="G20" s="92" t="n"/>
      <c r="H20" s="92" t="n"/>
    </row>
    <row r="21" ht="21.75" customHeight="1" s="54">
      <c r="A21" s="91" t="n"/>
      <c r="B21" s="91" t="n"/>
      <c r="C21" s="91" t="n"/>
      <c r="D21" s="91" t="n"/>
      <c r="E21" s="91" t="n"/>
      <c r="F21" s="91" t="n"/>
      <c r="G21" s="91" t="n"/>
      <c r="H21" s="91" t="n"/>
    </row>
    <row r="22" ht="21.75" customHeight="1" s="54">
      <c r="A22" s="92" t="n"/>
      <c r="B22" s="92" t="n"/>
      <c r="C22" s="92" t="n"/>
      <c r="D22" s="92" t="n"/>
      <c r="E22" s="92" t="n"/>
      <c r="F22" s="92" t="n"/>
      <c r="G22" s="92" t="n"/>
      <c r="H22" s="92" t="n"/>
    </row>
    <row r="23" ht="21.75" customHeight="1" s="54">
      <c r="A23" s="91" t="n"/>
      <c r="B23" s="91" t="n"/>
      <c r="C23" s="91" t="n"/>
      <c r="D23" s="91" t="n"/>
      <c r="E23" s="91" t="n"/>
      <c r="F23" s="91" t="n"/>
      <c r="G23" s="91" t="n"/>
      <c r="H23" s="91" t="n"/>
    </row>
    <row r="24" ht="21.75" customHeight="1" s="54">
      <c r="A24" s="92" t="n"/>
      <c r="B24" s="92" t="n"/>
      <c r="C24" s="92" t="n"/>
      <c r="D24" s="92" t="n"/>
      <c r="E24" s="92" t="n"/>
      <c r="F24" s="92" t="n"/>
      <c r="G24" s="92" t="n"/>
      <c r="H24" s="92" t="n"/>
    </row>
    <row r="25" ht="21.75" customHeight="1" s="54">
      <c r="A25" s="91" t="n"/>
      <c r="B25" s="91" t="n"/>
      <c r="C25" s="91" t="n"/>
      <c r="D25" s="91" t="n"/>
      <c r="E25" s="91" t="n"/>
      <c r="F25" s="91" t="n"/>
      <c r="G25" s="91" t="n"/>
      <c r="H25" s="91" t="n"/>
    </row>
    <row r="26" ht="21.75" customHeight="1" s="54">
      <c r="A26" s="92" t="n"/>
      <c r="B26" s="92" t="n"/>
      <c r="C26" s="92" t="n"/>
      <c r="D26" s="92" t="n"/>
      <c r="E26" s="92" t="n"/>
      <c r="F26" s="92" t="n"/>
      <c r="G26" s="92" t="n"/>
      <c r="H26" s="92" t="n"/>
    </row>
    <row r="27" ht="21.75" customHeight="1" s="54">
      <c r="A27" s="91" t="n"/>
      <c r="B27" s="91" t="n"/>
      <c r="C27" s="91" t="n"/>
      <c r="D27" s="91" t="n"/>
      <c r="E27" s="91" t="n"/>
      <c r="F27" s="91" t="n"/>
      <c r="G27" s="91" t="n"/>
      <c r="H27" s="91" t="n"/>
    </row>
    <row r="28" ht="21.75" customHeight="1" s="54">
      <c r="A28" s="92" t="n"/>
      <c r="B28" s="92" t="n"/>
      <c r="C28" s="92" t="n"/>
      <c r="D28" s="92" t="n"/>
      <c r="E28" s="92" t="n"/>
      <c r="F28" s="92" t="n"/>
      <c r="G28" s="92" t="n"/>
      <c r="H28" s="92" t="n"/>
    </row>
    <row r="29" ht="21.75" customHeight="1" s="54">
      <c r="A29" s="91" t="n"/>
      <c r="B29" s="91" t="n"/>
      <c r="C29" s="91" t="n"/>
      <c r="D29" s="91" t="n"/>
      <c r="E29" s="91" t="n"/>
      <c r="F29" s="91" t="n"/>
      <c r="G29" s="91" t="n"/>
      <c r="H29" s="91" t="n"/>
    </row>
    <row r="30" ht="21.75" customHeight="1" s="54">
      <c r="A30" s="92" t="n"/>
      <c r="B30" s="92" t="n"/>
      <c r="C30" s="92" t="n"/>
      <c r="D30" s="92" t="n"/>
      <c r="E30" s="92" t="n"/>
      <c r="F30" s="92" t="n"/>
      <c r="G30" s="92" t="n"/>
      <c r="H30" s="92" t="n"/>
    </row>
    <row r="31" ht="21.75" customHeight="1" s="54">
      <c r="A31" s="91" t="n"/>
      <c r="B31" s="91" t="n"/>
      <c r="C31" s="91" t="n"/>
      <c r="D31" s="91" t="n"/>
      <c r="E31" s="91" t="n"/>
      <c r="F31" s="91" t="n"/>
      <c r="G31" s="91" t="n"/>
      <c r="H31" s="91" t="n"/>
    </row>
    <row r="32" ht="21.75" customHeight="1" s="54">
      <c r="A32" s="92" t="n"/>
      <c r="B32" s="92" t="n"/>
      <c r="C32" s="92" t="n"/>
      <c r="D32" s="92" t="n"/>
      <c r="E32" s="92" t="n"/>
      <c r="F32" s="92" t="n"/>
      <c r="G32" s="92" t="n"/>
      <c r="H32" s="92" t="n"/>
    </row>
    <row r="33" ht="21.75" customHeight="1" s="54">
      <c r="A33" s="91" t="n"/>
      <c r="B33" s="91" t="n"/>
      <c r="C33" s="91" t="n"/>
      <c r="D33" s="91" t="n"/>
      <c r="E33" s="91" t="n"/>
      <c r="F33" s="91" t="n"/>
      <c r="G33" s="91" t="n"/>
      <c r="H33" s="91" t="n"/>
    </row>
    <row r="34" ht="21.75" customHeight="1" s="54">
      <c r="A34" s="92" t="n"/>
      <c r="B34" s="92" t="n"/>
      <c r="C34" s="92" t="n"/>
      <c r="D34" s="92" t="n"/>
      <c r="E34" s="92" t="n"/>
      <c r="F34" s="92" t="n"/>
      <c r="G34" s="92" t="n"/>
      <c r="H34" s="92" t="n"/>
    </row>
    <row r="35" ht="21.75" customHeight="1" s="54">
      <c r="A35" s="91" t="n"/>
      <c r="B35" s="91" t="n"/>
      <c r="C35" s="91" t="n"/>
      <c r="D35" s="91" t="n"/>
      <c r="E35" s="91" t="n"/>
      <c r="F35" s="91" t="n"/>
      <c r="G35" s="91" t="n"/>
      <c r="H35" s="91" t="n"/>
    </row>
    <row r="36" ht="21.75" customHeight="1" s="54">
      <c r="A36" s="92" t="n"/>
      <c r="B36" s="92" t="n"/>
      <c r="C36" s="92" t="n"/>
      <c r="D36" s="92" t="n"/>
      <c r="E36" s="92" t="n"/>
      <c r="F36" s="92" t="n"/>
      <c r="G36" s="92" t="n"/>
      <c r="H36" s="92" t="n"/>
    </row>
    <row r="37" ht="21.75" customHeight="1" s="54">
      <c r="A37" s="91" t="n"/>
      <c r="B37" s="91" t="n"/>
      <c r="C37" s="91" t="n"/>
      <c r="D37" s="91" t="n"/>
      <c r="E37" s="91" t="n"/>
      <c r="F37" s="91" t="n"/>
      <c r="G37" s="91" t="n"/>
      <c r="H37" s="91" t="n"/>
    </row>
    <row r="38" ht="21.75" customHeight="1" s="54">
      <c r="A38" s="92" t="n"/>
      <c r="B38" s="92" t="n"/>
      <c r="C38" s="92" t="n"/>
      <c r="D38" s="92" t="n"/>
      <c r="E38" s="92" t="n"/>
      <c r="F38" s="92" t="n"/>
      <c r="G38" s="92" t="n"/>
      <c r="H38" s="92" t="n"/>
    </row>
    <row r="39" ht="21.75" customHeight="1" s="54">
      <c r="A39" s="91" t="n"/>
      <c r="B39" s="91" t="n"/>
      <c r="C39" s="91" t="n"/>
      <c r="D39" s="91" t="n"/>
      <c r="E39" s="91" t="n"/>
      <c r="F39" s="91" t="n"/>
      <c r="G39" s="91" t="n"/>
      <c r="H39" s="91" t="n"/>
    </row>
    <row r="40" ht="21.75" customHeight="1" s="54">
      <c r="A40" s="92" t="n"/>
      <c r="B40" s="92" t="n"/>
      <c r="C40" s="92" t="n"/>
      <c r="D40" s="92" t="n"/>
      <c r="E40" s="92" t="n"/>
      <c r="F40" s="92" t="n"/>
      <c r="G40" s="92" t="n"/>
      <c r="H40" s="92" t="n"/>
    </row>
    <row r="41" ht="21.75" customHeight="1" s="54">
      <c r="A41" s="91" t="n"/>
      <c r="B41" s="91" t="n"/>
      <c r="C41" s="91" t="n"/>
      <c r="D41" s="91" t="n"/>
      <c r="E41" s="91" t="n"/>
      <c r="F41" s="91" t="n"/>
      <c r="G41" s="91" t="n"/>
      <c r="H41" s="91" t="n"/>
    </row>
    <row r="42" ht="21.75" customHeight="1" s="54">
      <c r="A42" s="92" t="n"/>
      <c r="B42" s="92" t="n"/>
      <c r="C42" s="92" t="n"/>
      <c r="D42" s="92" t="n"/>
      <c r="E42" s="92" t="n"/>
      <c r="F42" s="92" t="n"/>
      <c r="G42" s="92" t="n"/>
      <c r="H42" s="92" t="n"/>
    </row>
    <row r="43" ht="21.75" customHeight="1" s="54">
      <c r="A43" s="91" t="n"/>
      <c r="B43" s="91" t="n"/>
      <c r="C43" s="91" t="n"/>
      <c r="D43" s="91" t="n"/>
      <c r="E43" s="91" t="n"/>
      <c r="F43" s="91" t="n"/>
      <c r="G43" s="91" t="n"/>
      <c r="H43" s="91" t="n"/>
    </row>
    <row r="44" ht="21.75" customHeight="1" s="54">
      <c r="A44" s="92" t="n"/>
      <c r="B44" s="92" t="n"/>
      <c r="C44" s="92" t="n"/>
      <c r="D44" s="92" t="n"/>
      <c r="E44" s="92" t="n"/>
      <c r="F44" s="92" t="n"/>
      <c r="G44" s="92" t="n"/>
      <c r="H44" s="92" t="n"/>
    </row>
    <row r="45" ht="21.75" customHeight="1" s="54">
      <c r="A45" s="91" t="n"/>
      <c r="B45" s="91" t="n"/>
      <c r="C45" s="91" t="n"/>
      <c r="D45" s="91" t="n"/>
      <c r="E45" s="91" t="n"/>
      <c r="F45" s="91" t="n"/>
      <c r="G45" s="91" t="n"/>
      <c r="H45" s="91" t="n"/>
    </row>
    <row r="46" ht="21.75" customHeight="1" s="54">
      <c r="A46" s="92" t="n"/>
      <c r="B46" s="92" t="n"/>
      <c r="C46" s="92" t="n"/>
      <c r="D46" s="92" t="n"/>
      <c r="E46" s="92" t="n"/>
      <c r="F46" s="92" t="n"/>
      <c r="G46" s="92" t="n"/>
      <c r="H46" s="92" t="n"/>
    </row>
    <row r="47" ht="21.75" customHeight="1" s="54">
      <c r="A47" s="91" t="n"/>
      <c r="B47" s="91" t="n"/>
      <c r="C47" s="91" t="n"/>
      <c r="D47" s="91" t="n"/>
      <c r="E47" s="91" t="n"/>
      <c r="F47" s="91" t="n"/>
      <c r="G47" s="91" t="n"/>
      <c r="H47" s="91" t="n"/>
    </row>
    <row r="48" ht="21.75" customHeight="1" s="54">
      <c r="A48" s="92" t="n"/>
      <c r="B48" s="92" t="n"/>
      <c r="C48" s="92" t="n"/>
      <c r="D48" s="92" t="n"/>
      <c r="E48" s="92" t="n"/>
      <c r="F48" s="92" t="n"/>
      <c r="G48" s="92" t="n"/>
      <c r="H48" s="92" t="n"/>
    </row>
    <row r="49" ht="21.75" customHeight="1" s="54">
      <c r="A49" s="91" t="n"/>
      <c r="B49" s="91" t="n"/>
      <c r="C49" s="91" t="n"/>
      <c r="D49" s="91" t="n"/>
      <c r="E49" s="91" t="n"/>
      <c r="F49" s="91" t="n"/>
      <c r="G49" s="91" t="n"/>
      <c r="H49" s="91" t="n"/>
    </row>
    <row r="50" ht="21.75" customHeight="1" s="54">
      <c r="A50" s="92" t="n"/>
      <c r="B50" s="92" t="n"/>
      <c r="C50" s="92" t="n"/>
      <c r="D50" s="92" t="n"/>
      <c r="E50" s="92" t="n"/>
      <c r="F50" s="92" t="n"/>
      <c r="G50" s="92" t="n"/>
      <c r="H50" s="92" t="n"/>
    </row>
    <row r="51" ht="21.75" customHeight="1" s="54">
      <c r="A51" s="91" t="n"/>
      <c r="B51" s="91" t="n"/>
      <c r="C51" s="91" t="n"/>
      <c r="D51" s="91" t="n"/>
      <c r="E51" s="91" t="n"/>
      <c r="F51" s="91" t="n"/>
      <c r="G51" s="91" t="n"/>
      <c r="H51" s="91" t="n"/>
    </row>
    <row r="52" ht="21.75" customHeight="1" s="54">
      <c r="A52" s="92" t="n"/>
      <c r="B52" s="92" t="n"/>
      <c r="C52" s="92" t="n"/>
      <c r="D52" s="92" t="n"/>
      <c r="E52" s="92" t="n"/>
      <c r="F52" s="92" t="n"/>
      <c r="G52" s="92" t="n"/>
      <c r="H52" s="92" t="n"/>
    </row>
    <row r="53" ht="21.75" customHeight="1" s="54">
      <c r="A53" s="91" t="n"/>
      <c r="B53" s="91" t="n"/>
      <c r="C53" s="91" t="n"/>
      <c r="D53" s="91" t="n"/>
      <c r="E53" s="91" t="n"/>
      <c r="F53" s="91" t="n"/>
      <c r="G53" s="91" t="n"/>
      <c r="H53" s="91" t="n"/>
    </row>
    <row r="54" ht="21.75" customHeight="1" s="54">
      <c r="A54" s="92" t="n"/>
      <c r="B54" s="92" t="n"/>
      <c r="C54" s="92" t="n"/>
      <c r="D54" s="92" t="n"/>
      <c r="E54" s="92" t="n"/>
      <c r="F54" s="92" t="n"/>
      <c r="G54" s="92" t="n"/>
      <c r="H54" s="92" t="n"/>
    </row>
    <row r="55" ht="21.75" customHeight="1" s="54">
      <c r="A55" s="91" t="n"/>
      <c r="B55" s="91" t="n"/>
      <c r="C55" s="91" t="n"/>
      <c r="D55" s="91" t="n"/>
      <c r="E55" s="91" t="n"/>
      <c r="F55" s="91" t="n"/>
      <c r="G55" s="91" t="n"/>
      <c r="H55" s="91" t="n"/>
    </row>
    <row r="56" ht="21.75" customHeight="1" s="54">
      <c r="A56" s="92" t="n"/>
      <c r="B56" s="92" t="n"/>
      <c r="C56" s="92" t="n"/>
      <c r="D56" s="92" t="n"/>
      <c r="E56" s="92" t="n"/>
      <c r="F56" s="92" t="n"/>
      <c r="G56" s="92" t="n"/>
      <c r="H56" s="92" t="n"/>
    </row>
    <row r="57" ht="21.75" customHeight="1" s="54">
      <c r="A57" s="91" t="n"/>
      <c r="B57" s="91" t="n"/>
      <c r="C57" s="91" t="n"/>
      <c r="D57" s="91" t="n"/>
      <c r="E57" s="91" t="n"/>
      <c r="F57" s="91" t="n"/>
      <c r="G57" s="91" t="n"/>
      <c r="H57" s="91" t="n"/>
    </row>
    <row r="58" ht="21.75" customHeight="1" s="54">
      <c r="A58" s="92" t="n"/>
      <c r="B58" s="92" t="n"/>
      <c r="C58" s="92" t="n"/>
      <c r="D58" s="92" t="n"/>
      <c r="E58" s="92" t="n"/>
      <c r="F58" s="92" t="n"/>
      <c r="G58" s="92" t="n"/>
      <c r="H58" s="92" t="n"/>
    </row>
    <row r="59" ht="21.75" customHeight="1" s="54">
      <c r="A59" s="91" t="n"/>
      <c r="B59" s="91" t="n"/>
      <c r="C59" s="91" t="n"/>
      <c r="D59" s="91" t="n"/>
      <c r="E59" s="91" t="n"/>
      <c r="F59" s="91" t="n"/>
      <c r="G59" s="91" t="n"/>
      <c r="H59" s="91" t="n"/>
    </row>
    <row r="60" ht="21.75" customHeight="1" s="54">
      <c r="A60" s="92" t="n"/>
      <c r="B60" s="92" t="n"/>
      <c r="C60" s="92" t="n"/>
      <c r="D60" s="92" t="n"/>
      <c r="E60" s="92" t="n"/>
      <c r="F60" s="92" t="n"/>
      <c r="G60" s="92" t="n"/>
      <c r="H60" s="92" t="n"/>
    </row>
    <row r="61" ht="21.75" customHeight="1" s="54">
      <c r="A61" s="91" t="n"/>
      <c r="B61" s="91" t="n"/>
      <c r="C61" s="91" t="n"/>
      <c r="D61" s="91" t="n"/>
      <c r="E61" s="91" t="n"/>
      <c r="F61" s="91" t="n"/>
      <c r="G61" s="91" t="n"/>
      <c r="H61" s="91" t="n"/>
    </row>
    <row r="62" ht="21.75" customHeight="1" s="54">
      <c r="A62" s="92" t="n"/>
      <c r="B62" s="92" t="n"/>
      <c r="C62" s="92" t="n"/>
      <c r="D62" s="92" t="n"/>
      <c r="E62" s="92" t="n"/>
      <c r="F62" s="92" t="n"/>
      <c r="G62" s="92" t="n"/>
      <c r="H62" s="92" t="n"/>
    </row>
    <row r="63" ht="21.75" customHeight="1" s="54">
      <c r="A63" s="91" t="n"/>
      <c r="B63" s="91" t="n"/>
      <c r="C63" s="91" t="n"/>
      <c r="D63" s="91" t="n"/>
      <c r="E63" s="91" t="n"/>
      <c r="F63" s="91" t="n"/>
      <c r="G63" s="91" t="n"/>
      <c r="H63" s="91" t="n"/>
    </row>
    <row r="64" ht="21.75" customHeight="1" s="54">
      <c r="A64" s="92" t="n"/>
      <c r="B64" s="92" t="n"/>
      <c r="C64" s="92" t="n"/>
      <c r="D64" s="92" t="n"/>
      <c r="E64" s="92" t="n"/>
      <c r="F64" s="92" t="n"/>
      <c r="G64" s="92" t="n"/>
      <c r="H64" s="92" t="n"/>
    </row>
    <row r="65" ht="21.75" customHeight="1" s="54">
      <c r="A65" s="91" t="n"/>
      <c r="B65" s="91" t="n"/>
      <c r="C65" s="91" t="n"/>
      <c r="D65" s="91" t="n"/>
      <c r="E65" s="91" t="n"/>
      <c r="F65" s="91" t="n"/>
      <c r="G65" s="91" t="n"/>
      <c r="H65" s="91" t="n"/>
    </row>
    <row r="66" ht="21.75" customHeight="1" s="54">
      <c r="A66" s="92" t="n"/>
      <c r="B66" s="92" t="n"/>
      <c r="C66" s="92" t="n"/>
      <c r="D66" s="92" t="n"/>
      <c r="E66" s="92" t="n"/>
      <c r="F66" s="92" t="n"/>
      <c r="G66" s="92" t="n"/>
      <c r="H66" s="92" t="n"/>
    </row>
    <row r="67" ht="21.75" customHeight="1" s="54">
      <c r="A67" s="91" t="n"/>
      <c r="B67" s="91" t="n"/>
      <c r="C67" s="91" t="n"/>
      <c r="D67" s="91" t="n"/>
      <c r="E67" s="91" t="n"/>
      <c r="F67" s="91" t="n"/>
      <c r="G67" s="91" t="n"/>
      <c r="H67" s="91" t="n"/>
    </row>
    <row r="68" ht="21.75" customHeight="1" s="54">
      <c r="A68" s="92" t="n"/>
      <c r="B68" s="92" t="n"/>
      <c r="C68" s="92" t="n"/>
      <c r="D68" s="92" t="n"/>
      <c r="E68" s="92" t="n"/>
      <c r="F68" s="92" t="n"/>
      <c r="G68" s="92" t="n"/>
      <c r="H68" s="92" t="n"/>
    </row>
    <row r="69" ht="21.75" customHeight="1" s="54">
      <c r="A69" s="91" t="n"/>
      <c r="B69" s="91" t="n"/>
      <c r="C69" s="91" t="n"/>
      <c r="D69" s="91" t="n"/>
      <c r="E69" s="91" t="n"/>
      <c r="F69" s="91" t="n"/>
      <c r="G69" s="91" t="n"/>
      <c r="H69" s="91" t="n"/>
    </row>
    <row r="70" ht="21.75" customHeight="1" s="54">
      <c r="A70" s="92" t="n"/>
      <c r="B70" s="92" t="n"/>
      <c r="C70" s="92" t="n"/>
      <c r="D70" s="92" t="n"/>
      <c r="E70" s="92" t="n"/>
      <c r="F70" s="92" t="n"/>
      <c r="G70" s="92" t="n"/>
      <c r="H70" s="92" t="n"/>
    </row>
    <row r="71" ht="21.75" customHeight="1" s="54">
      <c r="A71" s="91" t="n"/>
      <c r="B71" s="91" t="n"/>
      <c r="C71" s="91" t="n"/>
      <c r="D71" s="91" t="n"/>
      <c r="E71" s="91" t="n"/>
      <c r="F71" s="91" t="n"/>
      <c r="G71" s="91" t="n"/>
      <c r="H71" s="91" t="n"/>
    </row>
    <row r="72" ht="21.75" customHeight="1" s="54">
      <c r="A72" s="92" t="n"/>
      <c r="B72" s="92" t="n"/>
      <c r="C72" s="92" t="n"/>
      <c r="D72" s="92" t="n"/>
      <c r="E72" s="92" t="n"/>
      <c r="F72" s="92" t="n"/>
      <c r="G72" s="92" t="n"/>
      <c r="H72" s="92" t="n"/>
    </row>
    <row r="73" ht="21.75" customHeight="1" s="54">
      <c r="A73" s="91" t="n"/>
      <c r="B73" s="91" t="n"/>
      <c r="C73" s="91" t="n"/>
      <c r="D73" s="91" t="n"/>
      <c r="E73" s="91" t="n"/>
      <c r="F73" s="91" t="n"/>
      <c r="G73" s="91" t="n"/>
      <c r="H73" s="91" t="n"/>
    </row>
    <row r="74" ht="21.75" customHeight="1" s="54">
      <c r="A74" s="92" t="n"/>
      <c r="B74" s="92" t="n"/>
      <c r="C74" s="92" t="n"/>
      <c r="D74" s="92" t="n"/>
      <c r="E74" s="92" t="n"/>
      <c r="F74" s="92" t="n"/>
      <c r="G74" s="92" t="n"/>
      <c r="H74" s="92" t="n"/>
    </row>
    <row r="75" ht="21.75" customHeight="1" s="54">
      <c r="A75" s="91" t="n"/>
      <c r="B75" s="91" t="n"/>
      <c r="C75" s="91" t="n"/>
      <c r="D75" s="91" t="n"/>
      <c r="E75" s="91" t="n"/>
      <c r="F75" s="91" t="n"/>
      <c r="G75" s="91" t="n"/>
      <c r="H75" s="91" t="n"/>
    </row>
    <row r="76" ht="21.75" customHeight="1" s="54">
      <c r="A76" s="92" t="n"/>
      <c r="B76" s="92" t="n"/>
      <c r="C76" s="92" t="n"/>
      <c r="D76" s="92" t="n"/>
      <c r="E76" s="92" t="n"/>
      <c r="F76" s="92" t="n"/>
      <c r="G76" s="92" t="n"/>
      <c r="H76" s="92" t="n"/>
    </row>
    <row r="77" ht="21.75" customHeight="1" s="54">
      <c r="A77" s="91" t="n"/>
      <c r="B77" s="91" t="n"/>
      <c r="C77" s="91" t="n"/>
      <c r="D77" s="91" t="n"/>
      <c r="E77" s="91" t="n"/>
      <c r="F77" s="91" t="n"/>
      <c r="G77" s="91" t="n"/>
      <c r="H77" s="91" t="n"/>
    </row>
    <row r="78" ht="21.75" customHeight="1" s="54">
      <c r="A78" s="92" t="n"/>
      <c r="B78" s="92" t="n"/>
      <c r="C78" s="92" t="n"/>
      <c r="D78" s="92" t="n"/>
      <c r="E78" s="92" t="n"/>
      <c r="F78" s="92" t="n"/>
      <c r="G78" s="92" t="n"/>
      <c r="H78" s="92" t="n"/>
    </row>
    <row r="79" ht="21.75" customHeight="1" s="54">
      <c r="A79" s="91" t="n"/>
      <c r="B79" s="91" t="n"/>
      <c r="C79" s="91" t="n"/>
      <c r="D79" s="91" t="n"/>
      <c r="E79" s="91" t="n"/>
      <c r="F79" s="91" t="n"/>
      <c r="G79" s="91" t="n"/>
      <c r="H79" s="91" t="n"/>
    </row>
    <row r="80" ht="21.75" customHeight="1" s="54">
      <c r="A80" s="92" t="n"/>
      <c r="B80" s="92" t="n"/>
      <c r="C80" s="92" t="n"/>
      <c r="D80" s="92" t="n"/>
      <c r="E80" s="92" t="n"/>
      <c r="F80" s="92" t="n"/>
      <c r="G80" s="92" t="n"/>
      <c r="H80" s="92" t="n"/>
    </row>
    <row r="81" ht="21.75" customHeight="1" s="54">
      <c r="A81" s="91" t="n"/>
      <c r="B81" s="91" t="n"/>
      <c r="C81" s="91" t="n"/>
      <c r="D81" s="91" t="n"/>
      <c r="E81" s="91" t="n"/>
      <c r="F81" s="91" t="n"/>
      <c r="G81" s="91" t="n"/>
      <c r="H81" s="91" t="n"/>
    </row>
    <row r="82" ht="21.75" customHeight="1" s="54">
      <c r="A82" s="92" t="n"/>
      <c r="B82" s="92" t="n"/>
      <c r="C82" s="92" t="n"/>
      <c r="D82" s="92" t="n"/>
      <c r="E82" s="92" t="n"/>
      <c r="F82" s="92" t="n"/>
      <c r="G82" s="92" t="n"/>
      <c r="H82" s="92" t="n"/>
    </row>
    <row r="83" ht="21.75" customHeight="1" s="54">
      <c r="A83" s="91" t="n"/>
      <c r="B83" s="91" t="n"/>
      <c r="C83" s="91" t="n"/>
      <c r="D83" s="91" t="n"/>
      <c r="E83" s="91" t="n"/>
      <c r="F83" s="91" t="n"/>
      <c r="G83" s="91" t="n"/>
      <c r="H83" s="91" t="n"/>
    </row>
    <row r="84" ht="21.75" customHeight="1" s="54">
      <c r="A84" s="92" t="n"/>
      <c r="B84" s="92" t="n"/>
      <c r="C84" s="92" t="n"/>
      <c r="D84" s="92" t="n"/>
      <c r="E84" s="92" t="n"/>
      <c r="F84" s="92" t="n"/>
      <c r="G84" s="92" t="n"/>
      <c r="H84" s="92" t="n"/>
    </row>
    <row r="85" ht="21.75" customHeight="1" s="54">
      <c r="A85" s="91" t="n"/>
      <c r="B85" s="91" t="n"/>
      <c r="C85" s="91" t="n"/>
      <c r="D85" s="91" t="n"/>
      <c r="E85" s="91" t="n"/>
      <c r="F85" s="91" t="n"/>
      <c r="G85" s="91" t="n"/>
      <c r="H85" s="91" t="n"/>
    </row>
    <row r="86" ht="21.75" customHeight="1" s="54">
      <c r="A86" s="92" t="n"/>
      <c r="B86" s="92" t="n"/>
      <c r="C86" s="92" t="n"/>
      <c r="D86" s="92" t="n"/>
      <c r="E86" s="92" t="n"/>
      <c r="F86" s="92" t="n"/>
      <c r="G86" s="92" t="n"/>
      <c r="H86" s="92" t="n"/>
    </row>
    <row r="87" ht="21.75" customHeight="1" s="54">
      <c r="A87" s="91" t="n"/>
      <c r="B87" s="91" t="n"/>
      <c r="C87" s="91" t="n"/>
      <c r="D87" s="91" t="n"/>
      <c r="E87" s="91" t="n"/>
      <c r="F87" s="91" t="n"/>
      <c r="G87" s="91" t="n"/>
      <c r="H87" s="91" t="n"/>
    </row>
    <row r="88" ht="21.75" customHeight="1" s="54">
      <c r="A88" s="92" t="n"/>
      <c r="B88" s="92" t="n"/>
      <c r="C88" s="92" t="n"/>
      <c r="D88" s="92" t="n"/>
      <c r="E88" s="92" t="n"/>
      <c r="F88" s="92" t="n"/>
      <c r="G88" s="92" t="n"/>
      <c r="H88" s="92" t="n"/>
    </row>
    <row r="89" ht="21.75" customHeight="1" s="54">
      <c r="A89" s="91" t="n"/>
      <c r="B89" s="91" t="n"/>
      <c r="C89" s="91" t="n"/>
      <c r="D89" s="91" t="n"/>
      <c r="E89" s="91" t="n"/>
      <c r="F89" s="91" t="n"/>
      <c r="G89" s="91" t="n"/>
      <c r="H89" s="91" t="n"/>
    </row>
    <row r="90" ht="21.75" customHeight="1" s="54">
      <c r="A90" s="92" t="n"/>
      <c r="B90" s="92" t="n"/>
      <c r="C90" s="92" t="n"/>
      <c r="D90" s="92" t="n"/>
      <c r="E90" s="92" t="n"/>
      <c r="F90" s="92" t="n"/>
      <c r="G90" s="92" t="n"/>
      <c r="H90" s="92" t="n"/>
    </row>
    <row r="91" ht="21.75" customHeight="1" s="54">
      <c r="A91" s="91" t="n"/>
      <c r="B91" s="91" t="n"/>
      <c r="C91" s="91" t="n"/>
      <c r="D91" s="91" t="n"/>
      <c r="E91" s="91" t="n"/>
      <c r="F91" s="91" t="n"/>
      <c r="G91" s="91" t="n"/>
      <c r="H91" s="91" t="n"/>
    </row>
    <row r="92" ht="21.75" customHeight="1" s="54">
      <c r="A92" s="92" t="n"/>
      <c r="B92" s="92" t="n"/>
      <c r="C92" s="92" t="n"/>
      <c r="D92" s="92" t="n"/>
      <c r="E92" s="92" t="n"/>
      <c r="F92" s="92" t="n"/>
      <c r="G92" s="92" t="n"/>
      <c r="H92" s="92" t="n"/>
    </row>
    <row r="93" ht="21.75" customHeight="1" s="54">
      <c r="A93" s="91" t="n"/>
      <c r="B93" s="91" t="n"/>
      <c r="C93" s="91" t="n"/>
      <c r="D93" s="91" t="n"/>
      <c r="E93" s="91" t="n"/>
      <c r="F93" s="91" t="n"/>
      <c r="G93" s="91" t="n"/>
      <c r="H93" s="91" t="n"/>
    </row>
    <row r="94" ht="21.75" customHeight="1" s="54">
      <c r="A94" s="92" t="n"/>
      <c r="B94" s="92" t="n"/>
      <c r="C94" s="92" t="n"/>
      <c r="D94" s="92" t="n"/>
      <c r="E94" s="92" t="n"/>
      <c r="F94" s="92" t="n"/>
      <c r="G94" s="92" t="n"/>
      <c r="H94" s="92" t="n"/>
    </row>
    <row r="95" ht="21.75" customHeight="1" s="54">
      <c r="A95" s="91" t="n"/>
      <c r="B95" s="91" t="n"/>
      <c r="C95" s="91" t="n"/>
      <c r="D95" s="91" t="n"/>
      <c r="E95" s="91" t="n"/>
      <c r="F95" s="91" t="n"/>
      <c r="G95" s="91" t="n"/>
      <c r="H95" s="91" t="n"/>
    </row>
    <row r="96" ht="21.75" customHeight="1" s="54">
      <c r="A96" s="92" t="n"/>
      <c r="B96" s="92" t="n"/>
      <c r="C96" s="92" t="n"/>
      <c r="D96" s="92" t="n"/>
      <c r="E96" s="92" t="n"/>
      <c r="F96" s="92" t="n"/>
      <c r="G96" s="92" t="n"/>
      <c r="H96" s="92" t="n"/>
    </row>
    <row r="97" ht="21.75" customHeight="1" s="54">
      <c r="A97" s="91" t="n"/>
      <c r="B97" s="91" t="n"/>
      <c r="C97" s="91" t="n"/>
      <c r="D97" s="91" t="n"/>
      <c r="E97" s="91" t="n"/>
      <c r="F97" s="91" t="n"/>
      <c r="G97" s="91" t="n"/>
      <c r="H97" s="91" t="n"/>
    </row>
    <row r="98" ht="21.75" customHeight="1" s="54">
      <c r="A98" s="92" t="n"/>
      <c r="B98" s="92" t="n"/>
      <c r="C98" s="92" t="n"/>
      <c r="D98" s="92" t="n"/>
      <c r="E98" s="92" t="n"/>
      <c r="F98" s="92" t="n"/>
      <c r="G98" s="92" t="n"/>
      <c r="H98" s="92" t="n"/>
    </row>
    <row r="99" ht="21.75" customHeight="1" s="54">
      <c r="A99" s="91" t="n"/>
      <c r="B99" s="91" t="n"/>
      <c r="C99" s="91" t="n"/>
      <c r="D99" s="91" t="n"/>
      <c r="E99" s="91" t="n"/>
      <c r="F99" s="91" t="n"/>
      <c r="G99" s="91" t="n"/>
      <c r="H99" s="91" t="n"/>
    </row>
    <row r="100" ht="21.75" customHeight="1" s="54">
      <c r="A100" s="92" t="n"/>
      <c r="B100" s="92" t="n"/>
      <c r="C100" s="92" t="n"/>
      <c r="D100" s="92" t="n"/>
      <c r="E100" s="92" t="n"/>
      <c r="F100" s="92" t="n"/>
      <c r="G100" s="92" t="n"/>
      <c r="H100" s="92" t="n"/>
    </row>
    <row r="101" ht="21.75" customHeight="1" s="54">
      <c r="A101" s="91" t="n"/>
      <c r="B101" s="91" t="n"/>
      <c r="C101" s="91" t="n"/>
      <c r="D101" s="91" t="n"/>
      <c r="E101" s="91" t="n"/>
      <c r="F101" s="91" t="n"/>
      <c r="G101" s="91" t="n"/>
      <c r="H101" s="91" t="n"/>
    </row>
    <row r="102" ht="21.75" customHeight="1" s="54">
      <c r="A102" s="92" t="n"/>
      <c r="B102" s="92" t="n"/>
      <c r="C102" s="92" t="n"/>
      <c r="D102" s="92" t="n"/>
      <c r="E102" s="92" t="n"/>
      <c r="F102" s="92" t="n"/>
      <c r="G102" s="92" t="n"/>
      <c r="H102" s="92" t="n"/>
    </row>
    <row r="103" ht="21.75" customHeight="1" s="54">
      <c r="A103" s="91" t="n"/>
      <c r="B103" s="91" t="n"/>
      <c r="C103" s="91" t="n"/>
      <c r="D103" s="91" t="n"/>
      <c r="E103" s="91" t="n"/>
      <c r="F103" s="91" t="n"/>
      <c r="G103" s="91" t="n"/>
      <c r="H103" s="91" t="n"/>
    </row>
  </sheetData>
  <autoFilter ref="A3:H3"/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53" min="1" max="1"/>
    <col width="22" customWidth="1" style="53" min="2" max="4"/>
    <col width="18" customWidth="1" style="53" min="5" max="5"/>
    <col width="12" customWidth="1" style="53" min="6" max="7"/>
    <col width="24" customWidth="1" style="53" min="8" max="8"/>
    <col width="30" customWidth="1" style="53" min="9" max="9"/>
    <col width="20" customWidth="1" style="53" min="10" max="10"/>
    <col width="24" customWidth="1" style="53" min="11" max="11"/>
  </cols>
  <sheetData>
    <row r="1" ht="30" customHeight="1" s="54">
      <c r="A1" s="55" t="inlineStr">
        <is>
          <t>DATA FIELDS</t>
        </is>
      </c>
    </row>
    <row r="2" ht="19.5" customHeight="1" s="54">
      <c r="A2" s="58" t="inlineStr">
        <is>
          <t>S/N</t>
        </is>
      </c>
      <c r="B2" s="58" t="inlineStr">
        <is>
          <t>Module / Screen</t>
        </is>
      </c>
      <c r="C2" s="58" t="inlineStr">
        <is>
          <t>Field Name</t>
        </is>
      </c>
      <c r="D2" s="58" t="inlineStr">
        <is>
          <t>Field Label (Display)</t>
        </is>
      </c>
      <c r="E2" s="58" t="inlineStr">
        <is>
          <t>Data Type</t>
        </is>
      </c>
      <c r="F2" s="58" t="inlineStr">
        <is>
          <t>Mandatory</t>
        </is>
      </c>
      <c r="G2" s="58" t="inlineStr">
        <is>
          <t>Editable</t>
        </is>
      </c>
      <c r="H2" s="58" t="inlineStr">
        <is>
          <t>Visible To Roles</t>
        </is>
      </c>
      <c r="I2" s="58" t="inlineStr">
        <is>
          <t>Validation Rules</t>
        </is>
      </c>
      <c r="J2" s="58" t="inlineStr">
        <is>
          <t>LOV Reference</t>
        </is>
      </c>
      <c r="K2" s="58" t="inlineStr">
        <is>
          <t>Remarks</t>
        </is>
      </c>
    </row>
    <row r="3" ht="19.5" customHeight="1" s="54">
      <c r="A3" s="91" t="n"/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</row>
    <row r="4" ht="19.5" customHeight="1" s="54">
      <c r="A4" s="92" t="n"/>
      <c r="B4" s="92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</row>
    <row r="5" ht="19.5" customHeight="1" s="54">
      <c r="A5" s="91" t="n"/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</row>
    <row r="6" ht="19.5" customHeight="1" s="54">
      <c r="A6" s="92" t="n"/>
      <c r="B6" s="92" t="n"/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</row>
    <row r="7" ht="19.5" customHeight="1" s="54">
      <c r="A7" s="91" t="n"/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  <c r="K7" s="91" t="n"/>
    </row>
    <row r="8" ht="19.5" customHeight="1" s="54">
      <c r="A8" s="92" t="n"/>
      <c r="B8" s="92" t="n"/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</row>
    <row r="9" ht="19.5" customHeight="1" s="54">
      <c r="A9" s="91" t="n"/>
      <c r="B9" s="91" t="n"/>
      <c r="C9" s="91" t="n"/>
      <c r="D9" s="91" t="n"/>
      <c r="E9" s="91" t="n"/>
      <c r="F9" s="91" t="n"/>
      <c r="G9" s="91" t="n"/>
      <c r="H9" s="91" t="n"/>
      <c r="I9" s="91" t="n"/>
      <c r="J9" s="91" t="n"/>
      <c r="K9" s="91" t="n"/>
    </row>
    <row r="10" ht="19.5" customHeight="1" s="54">
      <c r="A10" s="92" t="n"/>
      <c r="B10" s="92" t="n"/>
      <c r="C10" s="92" t="n"/>
      <c r="D10" s="92" t="n"/>
      <c r="E10" s="92" t="n"/>
      <c r="F10" s="92" t="n"/>
      <c r="G10" s="92" t="n"/>
      <c r="H10" s="92" t="n"/>
      <c r="I10" s="92" t="n"/>
      <c r="J10" s="92" t="n"/>
      <c r="K10" s="92" t="n"/>
    </row>
    <row r="11" ht="19.5" customHeight="1" s="54">
      <c r="A11" s="91" t="n"/>
      <c r="B11" s="91" t="n"/>
      <c r="C11" s="91" t="n"/>
      <c r="D11" s="91" t="n"/>
      <c r="E11" s="91" t="n"/>
      <c r="F11" s="91" t="n"/>
      <c r="G11" s="91" t="n"/>
      <c r="H11" s="91" t="n"/>
      <c r="I11" s="91" t="n"/>
      <c r="J11" s="91" t="n"/>
      <c r="K11" s="91" t="n"/>
    </row>
    <row r="12" ht="19.5" customHeight="1" s="54">
      <c r="A12" s="92" t="n"/>
      <c r="B12" s="92" t="n"/>
      <c r="C12" s="92" t="n"/>
      <c r="D12" s="92" t="n"/>
      <c r="E12" s="92" t="n"/>
      <c r="F12" s="92" t="n"/>
      <c r="G12" s="92" t="n"/>
      <c r="H12" s="92" t="n"/>
      <c r="I12" s="92" t="n"/>
      <c r="J12" s="92" t="n"/>
      <c r="K12" s="92" t="n"/>
    </row>
    <row r="13" ht="19.5" customHeight="1" s="54">
      <c r="A13" s="91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1" t="n"/>
    </row>
    <row r="14" ht="19.5" customHeight="1" s="54">
      <c r="A14" s="92" t="n"/>
      <c r="B14" s="92" t="n"/>
      <c r="C14" s="92" t="n"/>
      <c r="D14" s="92" t="n"/>
      <c r="E14" s="92" t="n"/>
      <c r="F14" s="92" t="n"/>
      <c r="G14" s="92" t="n"/>
      <c r="H14" s="92" t="n"/>
      <c r="I14" s="92" t="n"/>
      <c r="J14" s="92" t="n"/>
      <c r="K14" s="92" t="n"/>
    </row>
    <row r="15" ht="19.5" customHeight="1" s="54">
      <c r="A15" s="91" t="n"/>
      <c r="B15" s="91" t="n"/>
      <c r="C15" s="91" t="n"/>
      <c r="D15" s="91" t="n"/>
      <c r="E15" s="91" t="n"/>
      <c r="F15" s="91" t="n"/>
      <c r="G15" s="91" t="n"/>
      <c r="H15" s="91" t="n"/>
      <c r="I15" s="91" t="n"/>
      <c r="J15" s="91" t="n"/>
      <c r="K15" s="91" t="n"/>
    </row>
    <row r="16" ht="19.5" customHeight="1" s="54">
      <c r="A16" s="92" t="n"/>
      <c r="B16" s="92" t="n"/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</row>
    <row r="17" ht="19.5" customHeight="1" s="54">
      <c r="A17" s="91" t="n"/>
      <c r="B17" s="91" t="n"/>
      <c r="C17" s="91" t="n"/>
      <c r="D17" s="91" t="n"/>
      <c r="E17" s="91" t="n"/>
      <c r="F17" s="91" t="n"/>
      <c r="G17" s="91" t="n"/>
      <c r="H17" s="91" t="n"/>
      <c r="I17" s="91" t="n"/>
      <c r="J17" s="91" t="n"/>
      <c r="K17" s="91" t="n"/>
    </row>
    <row r="18" ht="19.5" customHeight="1" s="54">
      <c r="A18" s="92" t="n"/>
      <c r="B18" s="92" t="n"/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</row>
    <row r="19" ht="19.5" customHeight="1" s="54">
      <c r="A19" s="91" t="n"/>
      <c r="B19" s="91" t="n"/>
      <c r="C19" s="91" t="n"/>
      <c r="D19" s="91" t="n"/>
      <c r="E19" s="91" t="n"/>
      <c r="F19" s="91" t="n"/>
      <c r="G19" s="91" t="n"/>
      <c r="H19" s="91" t="n"/>
      <c r="I19" s="91" t="n"/>
      <c r="J19" s="91" t="n"/>
      <c r="K19" s="91" t="n"/>
    </row>
    <row r="20" ht="19.5" customHeight="1" s="54">
      <c r="A20" s="92" t="n"/>
      <c r="B20" s="92" t="n"/>
      <c r="C20" s="92" t="n"/>
      <c r="D20" s="92" t="n"/>
      <c r="E20" s="92" t="n"/>
      <c r="F20" s="92" t="n"/>
      <c r="G20" s="92" t="n"/>
      <c r="H20" s="92" t="n"/>
      <c r="I20" s="92" t="n"/>
      <c r="J20" s="92" t="n"/>
      <c r="K20" s="92" t="n"/>
    </row>
    <row r="21" ht="19.5" customHeight="1" s="54">
      <c r="A21" s="91" t="n"/>
      <c r="B21" s="91" t="n"/>
      <c r="C21" s="91" t="n"/>
      <c r="D21" s="91" t="n"/>
      <c r="E21" s="91" t="n"/>
      <c r="F21" s="91" t="n"/>
      <c r="G21" s="91" t="n"/>
      <c r="H21" s="91" t="n"/>
      <c r="I21" s="91" t="n"/>
      <c r="J21" s="91" t="n"/>
      <c r="K21" s="91" t="n"/>
    </row>
    <row r="22" ht="19.5" customHeight="1" s="54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</row>
    <row r="23" ht="19.5" customHeight="1" s="54">
      <c r="A23" s="91" t="n"/>
      <c r="B23" s="91" t="n"/>
      <c r="C23" s="91" t="n"/>
      <c r="D23" s="91" t="n"/>
      <c r="E23" s="91" t="n"/>
      <c r="F23" s="91" t="n"/>
      <c r="G23" s="91" t="n"/>
      <c r="H23" s="91" t="n"/>
      <c r="I23" s="91" t="n"/>
      <c r="J23" s="91" t="n"/>
      <c r="K23" s="91" t="n"/>
    </row>
    <row r="24" ht="19.5" customHeight="1" s="54">
      <c r="A24" s="92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</row>
    <row r="25" ht="19.5" customHeight="1" s="54">
      <c r="A25" s="91" t="n"/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  <c r="K25" s="91" t="n"/>
    </row>
    <row r="26" ht="19.5" customHeight="1" s="54">
      <c r="A26" s="92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</row>
    <row r="27" ht="19.5" customHeight="1" s="54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</row>
    <row r="28" ht="19.5" customHeight="1" s="54">
      <c r="A28" s="92" t="n"/>
      <c r="B28" s="92" t="n"/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</row>
    <row r="29" ht="19.5" customHeight="1" s="54">
      <c r="A29" s="91" t="n"/>
      <c r="B29" s="91" t="n"/>
      <c r="C29" s="91" t="n"/>
      <c r="D29" s="91" t="n"/>
      <c r="E29" s="91" t="n"/>
      <c r="F29" s="91" t="n"/>
      <c r="G29" s="91" t="n"/>
      <c r="H29" s="91" t="n"/>
      <c r="I29" s="91" t="n"/>
      <c r="J29" s="91" t="n"/>
      <c r="K29" s="91" t="n"/>
    </row>
    <row r="30" ht="19.5" customHeight="1" s="54">
      <c r="A30" s="92" t="n"/>
      <c r="B30" s="92" t="n"/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</row>
    <row r="31" ht="19.5" customHeight="1" s="54">
      <c r="A31" s="91" t="n"/>
      <c r="B31" s="91" t="n"/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</row>
    <row r="32" ht="19.5" customHeight="1" s="54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</row>
    <row r="33" ht="19.5" customHeight="1" s="54">
      <c r="A33" s="91" t="n"/>
      <c r="B33" s="91" t="n"/>
      <c r="C33" s="91" t="n"/>
      <c r="D33" s="91" t="n"/>
      <c r="E33" s="91" t="n"/>
      <c r="F33" s="91" t="n"/>
      <c r="G33" s="91" t="n"/>
      <c r="H33" s="91" t="n"/>
      <c r="I33" s="91" t="n"/>
      <c r="J33" s="91" t="n"/>
      <c r="K33" s="91" t="n"/>
    </row>
    <row r="34" ht="19.5" customHeight="1" s="5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</row>
    <row r="35" ht="19.5" customHeight="1" s="54">
      <c r="A35" s="91" t="n"/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</row>
    <row r="36" ht="19.5" customHeight="1" s="54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</row>
    <row r="37" ht="19.5" customHeight="1" s="54">
      <c r="A37" s="91" t="n"/>
      <c r="B37" s="91" t="n"/>
      <c r="C37" s="91" t="n"/>
      <c r="D37" s="91" t="n"/>
      <c r="E37" s="91" t="n"/>
      <c r="F37" s="91" t="n"/>
      <c r="G37" s="91" t="n"/>
      <c r="H37" s="91" t="n"/>
      <c r="I37" s="91" t="n"/>
      <c r="J37" s="91" t="n"/>
      <c r="K37" s="91" t="n"/>
    </row>
    <row r="38" ht="19.5" customHeight="1" s="54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</row>
    <row r="39" ht="19.5" customHeight="1" s="54">
      <c r="A39" s="91" t="n"/>
      <c r="B39" s="91" t="n"/>
      <c r="C39" s="91" t="n"/>
      <c r="D39" s="91" t="n"/>
      <c r="E39" s="91" t="n"/>
      <c r="F39" s="91" t="n"/>
      <c r="G39" s="91" t="n"/>
      <c r="H39" s="91" t="n"/>
      <c r="I39" s="91" t="n"/>
      <c r="J39" s="91" t="n"/>
      <c r="K39" s="91" t="n"/>
    </row>
    <row r="40" ht="19.5" customHeight="1" s="54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</row>
    <row r="41" ht="19.5" customHeight="1" s="54">
      <c r="A41" s="91" t="n"/>
      <c r="B41" s="91" t="n"/>
      <c r="C41" s="91" t="n"/>
      <c r="D41" s="91" t="n"/>
      <c r="E41" s="91" t="n"/>
      <c r="F41" s="91" t="n"/>
      <c r="G41" s="91" t="n"/>
      <c r="H41" s="91" t="n"/>
      <c r="I41" s="91" t="n"/>
      <c r="J41" s="91" t="n"/>
      <c r="K41" s="91" t="n"/>
    </row>
    <row r="42" ht="19.5" customHeight="1" s="54">
      <c r="A42" s="92" t="n"/>
      <c r="B42" s="92" t="n"/>
      <c r="C42" s="92" t="n"/>
      <c r="D42" s="92" t="n"/>
      <c r="E42" s="92" t="n"/>
      <c r="F42" s="92" t="n"/>
      <c r="G42" s="92" t="n"/>
      <c r="H42" s="92" t="n"/>
      <c r="I42" s="92" t="n"/>
      <c r="J42" s="92" t="n"/>
      <c r="K42" s="92" t="n"/>
    </row>
    <row r="43" ht="19.5" customHeight="1" s="54">
      <c r="A43" s="91" t="n"/>
      <c r="B43" s="91" t="n"/>
      <c r="C43" s="91" t="n"/>
      <c r="D43" s="91" t="n"/>
      <c r="E43" s="91" t="n"/>
      <c r="F43" s="91" t="n"/>
      <c r="G43" s="91" t="n"/>
      <c r="H43" s="91" t="n"/>
      <c r="I43" s="91" t="n"/>
      <c r="J43" s="91" t="n"/>
      <c r="K43" s="91" t="n"/>
    </row>
    <row r="44" ht="19.5" customHeight="1" s="54">
      <c r="A44" s="92" t="n"/>
      <c r="B44" s="92" t="n"/>
      <c r="C44" s="92" t="n"/>
      <c r="D44" s="92" t="n"/>
      <c r="E44" s="92" t="n"/>
      <c r="F44" s="92" t="n"/>
      <c r="G44" s="92" t="n"/>
      <c r="H44" s="92" t="n"/>
      <c r="I44" s="92" t="n"/>
      <c r="J44" s="92" t="n"/>
      <c r="K44" s="92" t="n"/>
    </row>
    <row r="45" ht="19.5" customHeight="1" s="54">
      <c r="A45" s="91" t="n"/>
      <c r="B45" s="91" t="n"/>
      <c r="C45" s="91" t="n"/>
      <c r="D45" s="91" t="n"/>
      <c r="E45" s="91" t="n"/>
      <c r="F45" s="91" t="n"/>
      <c r="G45" s="91" t="n"/>
      <c r="H45" s="91" t="n"/>
      <c r="I45" s="91" t="n"/>
      <c r="J45" s="91" t="n"/>
      <c r="K45" s="91" t="n"/>
    </row>
    <row r="46" ht="19.5" customHeight="1" s="54">
      <c r="A46" s="92" t="n"/>
      <c r="B46" s="92" t="n"/>
      <c r="C46" s="92" t="n"/>
      <c r="D46" s="92" t="n"/>
      <c r="E46" s="92" t="n"/>
      <c r="F46" s="92" t="n"/>
      <c r="G46" s="92" t="n"/>
      <c r="H46" s="92" t="n"/>
      <c r="I46" s="92" t="n"/>
      <c r="J46" s="92" t="n"/>
      <c r="K46" s="92" t="n"/>
    </row>
    <row r="47" ht="19.5" customHeight="1" s="54">
      <c r="A47" s="91" t="n"/>
      <c r="B47" s="91" t="n"/>
      <c r="C47" s="91" t="n"/>
      <c r="D47" s="91" t="n"/>
      <c r="E47" s="91" t="n"/>
      <c r="F47" s="91" t="n"/>
      <c r="G47" s="91" t="n"/>
      <c r="H47" s="91" t="n"/>
      <c r="I47" s="91" t="n"/>
      <c r="J47" s="91" t="n"/>
      <c r="K47" s="91" t="n"/>
    </row>
    <row r="48" ht="19.5" customHeight="1" s="54">
      <c r="A48" s="92" t="n"/>
      <c r="B48" s="92" t="n"/>
      <c r="C48" s="92" t="n"/>
      <c r="D48" s="92" t="n"/>
      <c r="E48" s="92" t="n"/>
      <c r="F48" s="92" t="n"/>
      <c r="G48" s="92" t="n"/>
      <c r="H48" s="92" t="n"/>
      <c r="I48" s="92" t="n"/>
      <c r="J48" s="92" t="n"/>
      <c r="K48" s="92" t="n"/>
    </row>
    <row r="49" ht="19.5" customHeight="1" s="54">
      <c r="A49" s="91" t="n"/>
      <c r="B49" s="91" t="n"/>
      <c r="C49" s="91" t="n"/>
      <c r="D49" s="91" t="n"/>
      <c r="E49" s="91" t="n"/>
      <c r="F49" s="91" t="n"/>
      <c r="G49" s="91" t="n"/>
      <c r="H49" s="91" t="n"/>
      <c r="I49" s="91" t="n"/>
      <c r="J49" s="91" t="n"/>
      <c r="K49" s="91" t="n"/>
    </row>
    <row r="50" ht="19.5" customHeight="1" s="54">
      <c r="A50" s="92" t="n"/>
      <c r="B50" s="92" t="n"/>
      <c r="C50" s="92" t="n"/>
      <c r="D50" s="92" t="n"/>
      <c r="E50" s="92" t="n"/>
      <c r="F50" s="92" t="n"/>
      <c r="G50" s="92" t="n"/>
      <c r="H50" s="92" t="n"/>
      <c r="I50" s="92" t="n"/>
      <c r="J50" s="92" t="n"/>
      <c r="K50" s="92" t="n"/>
    </row>
    <row r="51" ht="19.5" customHeight="1" s="54">
      <c r="A51" s="91" t="n"/>
      <c r="B51" s="91" t="n"/>
      <c r="C51" s="91" t="n"/>
      <c r="D51" s="91" t="n"/>
      <c r="E51" s="91" t="n"/>
      <c r="F51" s="91" t="n"/>
      <c r="G51" s="91" t="n"/>
      <c r="H51" s="91" t="n"/>
      <c r="I51" s="91" t="n"/>
      <c r="J51" s="91" t="n"/>
      <c r="K51" s="91" t="n"/>
    </row>
    <row r="52" ht="19.5" customHeight="1" s="54">
      <c r="A52" s="92" t="n"/>
      <c r="B52" s="92" t="n"/>
      <c r="C52" s="92" t="n"/>
      <c r="D52" s="92" t="n"/>
      <c r="E52" s="92" t="n"/>
      <c r="F52" s="92" t="n"/>
      <c r="G52" s="92" t="n"/>
      <c r="H52" s="92" t="n"/>
      <c r="I52" s="92" t="n"/>
      <c r="J52" s="92" t="n"/>
      <c r="K52" s="92" t="n"/>
    </row>
    <row r="53" ht="19.5" customHeight="1" s="54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</row>
    <row r="54" ht="19.5" customHeight="1" s="54">
      <c r="A54" s="92" t="n"/>
      <c r="B54" s="92" t="n"/>
      <c r="C54" s="92" t="n"/>
      <c r="D54" s="92" t="n"/>
      <c r="E54" s="92" t="n"/>
      <c r="F54" s="92" t="n"/>
      <c r="G54" s="92" t="n"/>
      <c r="H54" s="92" t="n"/>
      <c r="I54" s="92" t="n"/>
      <c r="J54" s="92" t="n"/>
      <c r="K54" s="92" t="n"/>
    </row>
    <row r="55" ht="19.5" customHeight="1" s="54">
      <c r="A55" s="91" t="n"/>
      <c r="B55" s="91" t="n"/>
      <c r="C55" s="91" t="n"/>
      <c r="D55" s="91" t="n"/>
      <c r="E55" s="91" t="n"/>
      <c r="F55" s="91" t="n"/>
      <c r="G55" s="91" t="n"/>
      <c r="H55" s="91" t="n"/>
      <c r="I55" s="91" t="n"/>
      <c r="J55" s="91" t="n"/>
      <c r="K55" s="91" t="n"/>
    </row>
    <row r="56" ht="19.5" customHeight="1" s="54">
      <c r="A56" s="92" t="n"/>
      <c r="B56" s="92" t="n"/>
      <c r="C56" s="92" t="n"/>
      <c r="D56" s="92" t="n"/>
      <c r="E56" s="92" t="n"/>
      <c r="F56" s="92" t="n"/>
      <c r="G56" s="92" t="n"/>
      <c r="H56" s="92" t="n"/>
      <c r="I56" s="92" t="n"/>
      <c r="J56" s="92" t="n"/>
      <c r="K56" s="92" t="n"/>
    </row>
    <row r="57" ht="19.5" customHeight="1" s="54">
      <c r="A57" s="91" t="n"/>
      <c r="B57" s="91" t="n"/>
      <c r="C57" s="91" t="n"/>
      <c r="D57" s="91" t="n"/>
      <c r="E57" s="91" t="n"/>
      <c r="F57" s="91" t="n"/>
      <c r="G57" s="91" t="n"/>
      <c r="H57" s="91" t="n"/>
      <c r="I57" s="91" t="n"/>
      <c r="J57" s="91" t="n"/>
      <c r="K57" s="91" t="n"/>
    </row>
    <row r="58" ht="19.5" customHeight="1" s="54">
      <c r="A58" s="92" t="n"/>
      <c r="B58" s="92" t="n"/>
      <c r="C58" s="92" t="n"/>
      <c r="D58" s="92" t="n"/>
      <c r="E58" s="92" t="n"/>
      <c r="F58" s="92" t="n"/>
      <c r="G58" s="92" t="n"/>
      <c r="H58" s="92" t="n"/>
      <c r="I58" s="92" t="n"/>
      <c r="J58" s="92" t="n"/>
      <c r="K58" s="92" t="n"/>
    </row>
    <row r="59" ht="19.5" customHeight="1" s="54">
      <c r="A59" s="91" t="n"/>
      <c r="B59" s="91" t="n"/>
      <c r="C59" s="91" t="n"/>
      <c r="D59" s="91" t="n"/>
      <c r="E59" s="91" t="n"/>
      <c r="F59" s="91" t="n"/>
      <c r="G59" s="91" t="n"/>
      <c r="H59" s="91" t="n"/>
      <c r="I59" s="91" t="n"/>
      <c r="J59" s="91" t="n"/>
      <c r="K59" s="91" t="n"/>
    </row>
    <row r="60" ht="19.5" customHeight="1" s="54">
      <c r="A60" s="92" t="n"/>
      <c r="B60" s="92" t="n"/>
      <c r="C60" s="92" t="n"/>
      <c r="D60" s="92" t="n"/>
      <c r="E60" s="92" t="n"/>
      <c r="F60" s="92" t="n"/>
      <c r="G60" s="92" t="n"/>
      <c r="H60" s="92" t="n"/>
      <c r="I60" s="92" t="n"/>
      <c r="J60" s="92" t="n"/>
      <c r="K60" s="92" t="n"/>
    </row>
    <row r="61" ht="19.5" customHeight="1" s="54">
      <c r="A61" s="91" t="n"/>
      <c r="B61" s="91" t="n"/>
      <c r="C61" s="91" t="n"/>
      <c r="D61" s="91" t="n"/>
      <c r="E61" s="91" t="n"/>
      <c r="F61" s="91" t="n"/>
      <c r="G61" s="91" t="n"/>
      <c r="H61" s="91" t="n"/>
      <c r="I61" s="91" t="n"/>
      <c r="J61" s="91" t="n"/>
      <c r="K61" s="91" t="n"/>
    </row>
    <row r="62" ht="19.5" customHeight="1" s="54">
      <c r="A62" s="92" t="n"/>
      <c r="B62" s="92" t="n"/>
      <c r="C62" s="92" t="n"/>
      <c r="D62" s="92" t="n"/>
      <c r="E62" s="92" t="n"/>
      <c r="F62" s="92" t="n"/>
      <c r="G62" s="92" t="n"/>
      <c r="H62" s="92" t="n"/>
      <c r="I62" s="92" t="n"/>
      <c r="J62" s="92" t="n"/>
      <c r="K62" s="92" t="n"/>
    </row>
    <row r="63" ht="19.5" customHeight="1" s="54">
      <c r="A63" s="91" t="n"/>
      <c r="B63" s="91" t="n"/>
      <c r="C63" s="91" t="n"/>
      <c r="D63" s="91" t="n"/>
      <c r="E63" s="91" t="n"/>
      <c r="F63" s="91" t="n"/>
      <c r="G63" s="91" t="n"/>
      <c r="H63" s="91" t="n"/>
      <c r="I63" s="91" t="n"/>
      <c r="J63" s="91" t="n"/>
      <c r="K63" s="91" t="n"/>
    </row>
    <row r="64" ht="19.5" customHeight="1" s="54">
      <c r="A64" s="92" t="n"/>
      <c r="B64" s="92" t="n"/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</row>
    <row r="65" ht="19.5" customHeight="1" s="54">
      <c r="A65" s="91" t="n"/>
      <c r="B65" s="91" t="n"/>
      <c r="C65" s="91" t="n"/>
      <c r="D65" s="91" t="n"/>
      <c r="E65" s="91" t="n"/>
      <c r="F65" s="91" t="n"/>
      <c r="G65" s="91" t="n"/>
      <c r="H65" s="91" t="n"/>
      <c r="I65" s="91" t="n"/>
      <c r="J65" s="91" t="n"/>
      <c r="K65" s="91" t="n"/>
    </row>
    <row r="66" ht="19.5" customHeight="1" s="54">
      <c r="A66" s="92" t="n"/>
      <c r="B66" s="92" t="n"/>
      <c r="C66" s="92" t="n"/>
      <c r="D66" s="92" t="n"/>
      <c r="E66" s="92" t="n"/>
      <c r="F66" s="92" t="n"/>
      <c r="G66" s="92" t="n"/>
      <c r="H66" s="92" t="n"/>
      <c r="I66" s="92" t="n"/>
      <c r="J66" s="92" t="n"/>
      <c r="K66" s="92" t="n"/>
    </row>
    <row r="67" ht="19.5" customHeight="1" s="54">
      <c r="A67" s="91" t="n"/>
      <c r="B67" s="91" t="n"/>
      <c r="C67" s="91" t="n"/>
      <c r="D67" s="91" t="n"/>
      <c r="E67" s="91" t="n"/>
      <c r="F67" s="91" t="n"/>
      <c r="G67" s="91" t="n"/>
      <c r="H67" s="91" t="n"/>
      <c r="I67" s="91" t="n"/>
      <c r="J67" s="91" t="n"/>
      <c r="K67" s="91" t="n"/>
    </row>
    <row r="68" ht="19.5" customHeight="1" s="54">
      <c r="A68" s="92" t="n"/>
      <c r="B68" s="92" t="n"/>
      <c r="C68" s="92" t="n"/>
      <c r="D68" s="92" t="n"/>
      <c r="E68" s="92" t="n"/>
      <c r="F68" s="92" t="n"/>
      <c r="G68" s="92" t="n"/>
      <c r="H68" s="92" t="n"/>
      <c r="I68" s="92" t="n"/>
      <c r="J68" s="92" t="n"/>
      <c r="K68" s="92" t="n"/>
    </row>
    <row r="69" ht="19.5" customHeight="1" s="54">
      <c r="A69" s="91" t="n"/>
      <c r="B69" s="91" t="n"/>
      <c r="C69" s="91" t="n"/>
      <c r="D69" s="91" t="n"/>
      <c r="E69" s="91" t="n"/>
      <c r="F69" s="91" t="n"/>
      <c r="G69" s="91" t="n"/>
      <c r="H69" s="91" t="n"/>
      <c r="I69" s="91" t="n"/>
      <c r="J69" s="91" t="n"/>
      <c r="K69" s="91" t="n"/>
    </row>
    <row r="70" ht="19.5" customHeight="1" s="54">
      <c r="A70" s="92" t="n"/>
      <c r="B70" s="92" t="n"/>
      <c r="C70" s="92" t="n"/>
      <c r="D70" s="92" t="n"/>
      <c r="E70" s="92" t="n"/>
      <c r="F70" s="92" t="n"/>
      <c r="G70" s="92" t="n"/>
      <c r="H70" s="92" t="n"/>
      <c r="I70" s="92" t="n"/>
      <c r="J70" s="92" t="n"/>
      <c r="K70" s="92" t="n"/>
    </row>
    <row r="71" ht="19.5" customHeight="1" s="54">
      <c r="A71" s="91" t="n"/>
      <c r="B71" s="91" t="n"/>
      <c r="C71" s="91" t="n"/>
      <c r="D71" s="91" t="n"/>
      <c r="E71" s="91" t="n"/>
      <c r="F71" s="91" t="n"/>
      <c r="G71" s="91" t="n"/>
      <c r="H71" s="91" t="n"/>
      <c r="I71" s="91" t="n"/>
      <c r="J71" s="91" t="n"/>
      <c r="K71" s="91" t="n"/>
    </row>
    <row r="72" ht="19.5" customHeight="1" s="54">
      <c r="A72" s="92" t="n"/>
      <c r="B72" s="92" t="n"/>
      <c r="C72" s="92" t="n"/>
      <c r="D72" s="92" t="n"/>
      <c r="E72" s="92" t="n"/>
      <c r="F72" s="92" t="n"/>
      <c r="G72" s="92" t="n"/>
      <c r="H72" s="92" t="n"/>
      <c r="I72" s="92" t="n"/>
      <c r="J72" s="92" t="n"/>
      <c r="K72" s="92" t="n"/>
    </row>
    <row r="73" ht="19.5" customHeight="1" s="54">
      <c r="A73" s="91" t="n"/>
      <c r="B73" s="91" t="n"/>
      <c r="C73" s="91" t="n"/>
      <c r="D73" s="91" t="n"/>
      <c r="E73" s="91" t="n"/>
      <c r="F73" s="91" t="n"/>
      <c r="G73" s="91" t="n"/>
      <c r="H73" s="91" t="n"/>
      <c r="I73" s="91" t="n"/>
      <c r="J73" s="91" t="n"/>
      <c r="K73" s="91" t="n"/>
    </row>
    <row r="74" ht="19.5" customHeight="1" s="54">
      <c r="A74" s="92" t="n"/>
      <c r="B74" s="92" t="n"/>
      <c r="C74" s="92" t="n"/>
      <c r="D74" s="92" t="n"/>
      <c r="E74" s="92" t="n"/>
      <c r="F74" s="92" t="n"/>
      <c r="G74" s="92" t="n"/>
      <c r="H74" s="92" t="n"/>
      <c r="I74" s="92" t="n"/>
      <c r="J74" s="92" t="n"/>
      <c r="K74" s="92" t="n"/>
    </row>
    <row r="75" ht="19.5" customHeight="1" s="54">
      <c r="A75" s="91" t="n"/>
      <c r="B75" s="91" t="n"/>
      <c r="C75" s="91" t="n"/>
      <c r="D75" s="91" t="n"/>
      <c r="E75" s="91" t="n"/>
      <c r="F75" s="91" t="n"/>
      <c r="G75" s="91" t="n"/>
      <c r="H75" s="91" t="n"/>
      <c r="I75" s="91" t="n"/>
      <c r="J75" s="91" t="n"/>
      <c r="K75" s="91" t="n"/>
    </row>
    <row r="76" ht="19.5" customHeight="1" s="54">
      <c r="A76" s="92" t="n"/>
      <c r="B76" s="92" t="n"/>
      <c r="C76" s="92" t="n"/>
      <c r="D76" s="92" t="n"/>
      <c r="E76" s="92" t="n"/>
      <c r="F76" s="92" t="n"/>
      <c r="G76" s="92" t="n"/>
      <c r="H76" s="92" t="n"/>
      <c r="I76" s="92" t="n"/>
      <c r="J76" s="92" t="n"/>
      <c r="K76" s="92" t="n"/>
    </row>
    <row r="77" ht="19.5" customHeight="1" s="54">
      <c r="A77" s="91" t="n"/>
      <c r="B77" s="91" t="n"/>
      <c r="C77" s="91" t="n"/>
      <c r="D77" s="91" t="n"/>
      <c r="E77" s="91" t="n"/>
      <c r="F77" s="91" t="n"/>
      <c r="G77" s="91" t="n"/>
      <c r="H77" s="91" t="n"/>
      <c r="I77" s="91" t="n"/>
      <c r="J77" s="91" t="n"/>
      <c r="K77" s="91" t="n"/>
    </row>
    <row r="78" ht="19.5" customHeight="1" s="54">
      <c r="A78" s="92" t="n"/>
      <c r="B78" s="92" t="n"/>
      <c r="C78" s="92" t="n"/>
      <c r="D78" s="92" t="n"/>
      <c r="E78" s="92" t="n"/>
      <c r="F78" s="92" t="n"/>
      <c r="G78" s="92" t="n"/>
      <c r="H78" s="92" t="n"/>
      <c r="I78" s="92" t="n"/>
      <c r="J78" s="92" t="n"/>
      <c r="K78" s="92" t="n"/>
    </row>
    <row r="79" ht="19.5" customHeight="1" s="54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</row>
    <row r="80" ht="19.5" customHeight="1" s="54">
      <c r="A80" s="92" t="n"/>
      <c r="B80" s="92" t="n"/>
      <c r="C80" s="92" t="n"/>
      <c r="D80" s="92" t="n"/>
      <c r="E80" s="92" t="n"/>
      <c r="F80" s="92" t="n"/>
      <c r="G80" s="92" t="n"/>
      <c r="H80" s="92" t="n"/>
      <c r="I80" s="92" t="n"/>
      <c r="J80" s="92" t="n"/>
      <c r="K80" s="92" t="n"/>
    </row>
    <row r="81" ht="19.5" customHeight="1" s="54">
      <c r="A81" s="91" t="n"/>
      <c r="B81" s="91" t="n"/>
      <c r="C81" s="91" t="n"/>
      <c r="D81" s="91" t="n"/>
      <c r="E81" s="91" t="n"/>
      <c r="F81" s="91" t="n"/>
      <c r="G81" s="91" t="n"/>
      <c r="H81" s="91" t="n"/>
      <c r="I81" s="91" t="n"/>
      <c r="J81" s="91" t="n"/>
      <c r="K81" s="91" t="n"/>
    </row>
    <row r="82" ht="19.5" customHeight="1" s="54">
      <c r="A82" s="92" t="n"/>
      <c r="B82" s="92" t="n"/>
      <c r="C82" s="92" t="n"/>
      <c r="D82" s="92" t="n"/>
      <c r="E82" s="92" t="n"/>
      <c r="F82" s="92" t="n"/>
      <c r="G82" s="92" t="n"/>
      <c r="H82" s="92" t="n"/>
      <c r="I82" s="92" t="n"/>
      <c r="J82" s="92" t="n"/>
      <c r="K82" s="92" t="n"/>
    </row>
    <row r="83" ht="19.5" customHeight="1" s="54">
      <c r="A83" s="91" t="n"/>
      <c r="B83" s="91" t="n"/>
      <c r="C83" s="91" t="n"/>
      <c r="D83" s="91" t="n"/>
      <c r="E83" s="91" t="n"/>
      <c r="F83" s="91" t="n"/>
      <c r="G83" s="91" t="n"/>
      <c r="H83" s="91" t="n"/>
      <c r="I83" s="91" t="n"/>
      <c r="J83" s="91" t="n"/>
      <c r="K83" s="91" t="n"/>
    </row>
    <row r="84" ht="19.5" customHeight="1" s="54">
      <c r="A84" s="92" t="n"/>
      <c r="B84" s="92" t="n"/>
      <c r="C84" s="92" t="n"/>
      <c r="D84" s="92" t="n"/>
      <c r="E84" s="92" t="n"/>
      <c r="F84" s="92" t="n"/>
      <c r="G84" s="92" t="n"/>
      <c r="H84" s="92" t="n"/>
      <c r="I84" s="92" t="n"/>
      <c r="J84" s="92" t="n"/>
      <c r="K84" s="92" t="n"/>
    </row>
    <row r="85" ht="19.5" customHeight="1" s="54">
      <c r="A85" s="91" t="n"/>
      <c r="B85" s="91" t="n"/>
      <c r="C85" s="91" t="n"/>
      <c r="D85" s="91" t="n"/>
      <c r="E85" s="91" t="n"/>
      <c r="F85" s="91" t="n"/>
      <c r="G85" s="91" t="n"/>
      <c r="H85" s="91" t="n"/>
      <c r="I85" s="91" t="n"/>
      <c r="J85" s="91" t="n"/>
      <c r="K85" s="91" t="n"/>
    </row>
    <row r="86" ht="19.5" customHeight="1" s="54">
      <c r="A86" s="92" t="n"/>
      <c r="B86" s="92" t="n"/>
      <c r="C86" s="92" t="n"/>
      <c r="D86" s="92" t="n"/>
      <c r="E86" s="92" t="n"/>
      <c r="F86" s="92" t="n"/>
      <c r="G86" s="92" t="n"/>
      <c r="H86" s="92" t="n"/>
      <c r="I86" s="92" t="n"/>
      <c r="J86" s="92" t="n"/>
      <c r="K86" s="92" t="n"/>
    </row>
    <row r="87" ht="19.5" customHeight="1" s="54">
      <c r="A87" s="91" t="n"/>
      <c r="B87" s="91" t="n"/>
      <c r="C87" s="91" t="n"/>
      <c r="D87" s="91" t="n"/>
      <c r="E87" s="91" t="n"/>
      <c r="F87" s="91" t="n"/>
      <c r="G87" s="91" t="n"/>
      <c r="H87" s="91" t="n"/>
      <c r="I87" s="91" t="n"/>
      <c r="J87" s="91" t="n"/>
      <c r="K87" s="91" t="n"/>
    </row>
    <row r="88" ht="19.5" customHeight="1" s="54">
      <c r="A88" s="92" t="n"/>
      <c r="B88" s="92" t="n"/>
      <c r="C88" s="92" t="n"/>
      <c r="D88" s="92" t="n"/>
      <c r="E88" s="92" t="n"/>
      <c r="F88" s="92" t="n"/>
      <c r="G88" s="92" t="n"/>
      <c r="H88" s="92" t="n"/>
      <c r="I88" s="92" t="n"/>
      <c r="J88" s="92" t="n"/>
      <c r="K88" s="92" t="n"/>
    </row>
    <row r="89" ht="19.5" customHeight="1" s="54">
      <c r="A89" s="91" t="n"/>
      <c r="B89" s="91" t="n"/>
      <c r="C89" s="91" t="n"/>
      <c r="D89" s="91" t="n"/>
      <c r="E89" s="91" t="n"/>
      <c r="F89" s="91" t="n"/>
      <c r="G89" s="91" t="n"/>
      <c r="H89" s="91" t="n"/>
      <c r="I89" s="91" t="n"/>
      <c r="J89" s="91" t="n"/>
      <c r="K89" s="91" t="n"/>
    </row>
    <row r="90" ht="19.5" customHeight="1" s="54">
      <c r="A90" s="92" t="n"/>
      <c r="B90" s="92" t="n"/>
      <c r="C90" s="92" t="n"/>
      <c r="D90" s="92" t="n"/>
      <c r="E90" s="92" t="n"/>
      <c r="F90" s="92" t="n"/>
      <c r="G90" s="92" t="n"/>
      <c r="H90" s="92" t="n"/>
      <c r="I90" s="92" t="n"/>
      <c r="J90" s="92" t="n"/>
      <c r="K90" s="92" t="n"/>
    </row>
    <row r="91" ht="19.5" customHeight="1" s="54">
      <c r="A91" s="91" t="n"/>
      <c r="B91" s="91" t="n"/>
      <c r="C91" s="91" t="n"/>
      <c r="D91" s="91" t="n"/>
      <c r="E91" s="91" t="n"/>
      <c r="F91" s="91" t="n"/>
      <c r="G91" s="91" t="n"/>
      <c r="H91" s="91" t="n"/>
      <c r="I91" s="91" t="n"/>
      <c r="J91" s="91" t="n"/>
      <c r="K91" s="91" t="n"/>
    </row>
    <row r="92" ht="19.5" customHeight="1" s="54">
      <c r="A92" s="92" t="n"/>
      <c r="B92" s="92" t="n"/>
      <c r="C92" s="92" t="n"/>
      <c r="D92" s="92" t="n"/>
      <c r="E92" s="92" t="n"/>
      <c r="F92" s="92" t="n"/>
      <c r="G92" s="92" t="n"/>
      <c r="H92" s="92" t="n"/>
      <c r="I92" s="92" t="n"/>
      <c r="J92" s="92" t="n"/>
      <c r="K92" s="92" t="n"/>
    </row>
    <row r="93" ht="19.5" customHeight="1" s="54">
      <c r="A93" s="91" t="n"/>
      <c r="B93" s="91" t="n"/>
      <c r="C93" s="91" t="n"/>
      <c r="D93" s="91" t="n"/>
      <c r="E93" s="91" t="n"/>
      <c r="F93" s="91" t="n"/>
      <c r="G93" s="91" t="n"/>
      <c r="H93" s="91" t="n"/>
      <c r="I93" s="91" t="n"/>
      <c r="J93" s="91" t="n"/>
      <c r="K93" s="91" t="n"/>
    </row>
    <row r="94" ht="19.5" customHeight="1" s="54">
      <c r="A94" s="92" t="n"/>
      <c r="B94" s="92" t="n"/>
      <c r="C94" s="92" t="n"/>
      <c r="D94" s="92" t="n"/>
      <c r="E94" s="92" t="n"/>
      <c r="F94" s="92" t="n"/>
      <c r="G94" s="92" t="n"/>
      <c r="H94" s="92" t="n"/>
      <c r="I94" s="92" t="n"/>
      <c r="J94" s="92" t="n"/>
      <c r="K94" s="92" t="n"/>
    </row>
    <row r="95" ht="19.5" customHeight="1" s="54">
      <c r="A95" s="91" t="n"/>
      <c r="B95" s="91" t="n"/>
      <c r="C95" s="91" t="n"/>
      <c r="D95" s="91" t="n"/>
      <c r="E95" s="91" t="n"/>
      <c r="F95" s="91" t="n"/>
      <c r="G95" s="91" t="n"/>
      <c r="H95" s="91" t="n"/>
      <c r="I95" s="91" t="n"/>
      <c r="J95" s="91" t="n"/>
      <c r="K95" s="91" t="n"/>
    </row>
    <row r="96" ht="19.5" customHeight="1" s="54">
      <c r="A96" s="92" t="n"/>
      <c r="B96" s="92" t="n"/>
      <c r="C96" s="92" t="n"/>
      <c r="D96" s="92" t="n"/>
      <c r="E96" s="92" t="n"/>
      <c r="F96" s="92" t="n"/>
      <c r="G96" s="92" t="n"/>
      <c r="H96" s="92" t="n"/>
      <c r="I96" s="92" t="n"/>
      <c r="J96" s="92" t="n"/>
      <c r="K96" s="92" t="n"/>
    </row>
    <row r="97" ht="19.5" customHeight="1" s="54">
      <c r="A97" s="91" t="n"/>
      <c r="B97" s="91" t="n"/>
      <c r="C97" s="91" t="n"/>
      <c r="D97" s="91" t="n"/>
      <c r="E97" s="91" t="n"/>
      <c r="F97" s="91" t="n"/>
      <c r="G97" s="91" t="n"/>
      <c r="H97" s="91" t="n"/>
      <c r="I97" s="91" t="n"/>
      <c r="J97" s="91" t="n"/>
      <c r="K97" s="91" t="n"/>
    </row>
    <row r="98" ht="19.5" customHeight="1" s="54">
      <c r="A98" s="92" t="n"/>
      <c r="B98" s="92" t="n"/>
      <c r="C98" s="92" t="n"/>
      <c r="D98" s="92" t="n"/>
      <c r="E98" s="92" t="n"/>
      <c r="F98" s="92" t="n"/>
      <c r="G98" s="92" t="n"/>
      <c r="H98" s="92" t="n"/>
      <c r="I98" s="92" t="n"/>
      <c r="J98" s="92" t="n"/>
      <c r="K98" s="92" t="n"/>
    </row>
    <row r="99" ht="19.5" customHeight="1" s="54">
      <c r="A99" s="91" t="n"/>
      <c r="B99" s="91" t="n"/>
      <c r="C99" s="91" t="n"/>
      <c r="D99" s="91" t="n"/>
      <c r="E99" s="91" t="n"/>
      <c r="F99" s="91" t="n"/>
      <c r="G99" s="91" t="n"/>
      <c r="H99" s="91" t="n"/>
      <c r="I99" s="91" t="n"/>
      <c r="J99" s="91" t="n"/>
      <c r="K99" s="91" t="n"/>
    </row>
    <row r="100" ht="19.5" customHeight="1" s="54">
      <c r="A100" s="92" t="n"/>
      <c r="B100" s="92" t="n"/>
      <c r="C100" s="92" t="n"/>
      <c r="D100" s="92" t="n"/>
      <c r="E100" s="92" t="n"/>
      <c r="F100" s="92" t="n"/>
      <c r="G100" s="92" t="n"/>
      <c r="H100" s="92" t="n"/>
      <c r="I100" s="92" t="n"/>
      <c r="J100" s="92" t="n"/>
      <c r="K100" s="92" t="n"/>
    </row>
    <row r="101" ht="19.5" customHeight="1" s="54">
      <c r="A101" s="91" t="n"/>
      <c r="B101" s="91" t="n"/>
      <c r="C101" s="91" t="n"/>
      <c r="D101" s="91" t="n"/>
      <c r="E101" s="91" t="n"/>
      <c r="F101" s="91" t="n"/>
      <c r="G101" s="91" t="n"/>
      <c r="H101" s="91" t="n"/>
      <c r="I101" s="91" t="n"/>
      <c r="J101" s="91" t="n"/>
      <c r="K101" s="91" t="n"/>
    </row>
    <row r="102" ht="19.5" customHeight="1" s="54">
      <c r="A102" s="92" t="n"/>
      <c r="B102" s="92" t="n"/>
      <c r="C102" s="92" t="n"/>
      <c r="D102" s="92" t="n"/>
      <c r="E102" s="92" t="n"/>
      <c r="F102" s="92" t="n"/>
      <c r="G102" s="92" t="n"/>
      <c r="H102" s="92" t="n"/>
      <c r="I102" s="92" t="n"/>
      <c r="J102" s="92" t="n"/>
      <c r="K102" s="92" t="n"/>
    </row>
  </sheetData>
  <autoFilter ref="A2:K2"/>
  <mergeCells count="1">
    <mergeCell ref="A1:K1"/>
  </mergeCells>
  <dataValidations count="3">
    <dataValidation sqref="E3:E102" showDropDown="0" showInputMessage="0" showErrorMessage="1" allowBlank="0" type="list" errorStyle="stop" operator="between">
      <formula1>"Text,Number,Date,Boolean,Dropdown (LOV),File,Rich Text,Email,Phone"</formula1>
      <formula2>0</formula2>
    </dataValidation>
    <dataValidation sqref="F3:F102" showDropDown="0" showInputMessage="0" showErrorMessage="1" allowBlank="0" type="list" errorStyle="stop" operator="between">
      <formula1>"Yes,No,Conditional"</formula1>
      <formula2>0</formula2>
    </dataValidation>
    <dataValidation sqref="G3:G102" showDropDown="0" showInputMessage="0" showErrorMessage="1" allowBlank="0" type="list" errorStyle="stop" operator="between">
      <formula1>"Yes,No,Conditional,Read-Only"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53" min="1" max="1"/>
    <col width="24" customWidth="1" style="53" min="2" max="3"/>
    <col width="18" customWidth="1" style="53" min="4" max="4"/>
    <col width="35" customWidth="1" style="53" min="5" max="5"/>
    <col width="10" customWidth="1" style="53" min="6" max="6"/>
    <col width="24" customWidth="1" style="53" min="7" max="7"/>
  </cols>
  <sheetData>
    <row r="1" ht="30" customHeight="1" s="54">
      <c r="A1" s="55" t="inlineStr">
        <is>
          <t>LIST OF VALUES (LOV)</t>
        </is>
      </c>
    </row>
    <row r="2" ht="27.75" customHeight="1" s="54">
      <c r="A2" s="94" t="inlineStr">
        <is>
          <t>A List of Values (LOV) groups reference/dropdown options by list name. Each row defines one value within a list.</t>
        </is>
      </c>
    </row>
    <row r="3" ht="19.5" customHeight="1" s="54">
      <c r="A3" s="58" t="inlineStr">
        <is>
          <t>S/N</t>
        </is>
      </c>
      <c r="B3" s="58" t="inlineStr">
        <is>
          <t>List Name</t>
        </is>
      </c>
      <c r="C3" s="58" t="inlineStr">
        <is>
          <t>Value (Display)</t>
        </is>
      </c>
      <c r="D3" s="58" t="inlineStr">
        <is>
          <t>Code (System)</t>
        </is>
      </c>
      <c r="E3" s="58" t="inlineStr">
        <is>
          <t>Description / Meaning</t>
        </is>
      </c>
      <c r="F3" s="58" t="inlineStr">
        <is>
          <t>Active</t>
        </is>
      </c>
      <c r="G3" s="58" t="inlineStr">
        <is>
          <t>Remarks</t>
        </is>
      </c>
    </row>
    <row r="4" ht="19.5" customHeight="1" s="54">
      <c r="A4" s="92" t="n"/>
      <c r="B4" s="92" t="n"/>
      <c r="C4" s="92" t="n"/>
      <c r="D4" s="92" t="n"/>
      <c r="E4" s="92" t="n"/>
      <c r="F4" s="92" t="n"/>
      <c r="G4" s="92" t="n"/>
    </row>
    <row r="5" ht="19.5" customHeight="1" s="54">
      <c r="A5" s="91" t="n"/>
      <c r="B5" s="91" t="n"/>
      <c r="C5" s="91" t="n"/>
      <c r="D5" s="91" t="n"/>
      <c r="E5" s="91" t="n"/>
      <c r="F5" s="91" t="n"/>
      <c r="G5" s="91" t="n"/>
    </row>
    <row r="6" ht="19.5" customHeight="1" s="54">
      <c r="A6" s="92" t="n"/>
      <c r="B6" s="92" t="n"/>
      <c r="C6" s="92" t="n"/>
      <c r="D6" s="92" t="n"/>
      <c r="E6" s="92" t="n"/>
      <c r="F6" s="92" t="n"/>
      <c r="G6" s="92" t="n"/>
    </row>
    <row r="7" ht="19.5" customHeight="1" s="54">
      <c r="A7" s="91" t="n"/>
      <c r="B7" s="91" t="n"/>
      <c r="C7" s="91" t="n"/>
      <c r="D7" s="91" t="n"/>
      <c r="E7" s="91" t="n"/>
      <c r="F7" s="91" t="n"/>
      <c r="G7" s="91" t="n"/>
    </row>
    <row r="8" ht="19.5" customHeight="1" s="54">
      <c r="A8" s="92" t="n"/>
      <c r="B8" s="92" t="n"/>
      <c r="C8" s="92" t="n"/>
      <c r="D8" s="92" t="n"/>
      <c r="E8" s="92" t="n"/>
      <c r="F8" s="92" t="n"/>
      <c r="G8" s="92" t="n"/>
    </row>
    <row r="9" ht="19.5" customHeight="1" s="54">
      <c r="A9" s="91" t="n"/>
      <c r="B9" s="91" t="n"/>
      <c r="C9" s="91" t="n"/>
      <c r="D9" s="91" t="n"/>
      <c r="E9" s="91" t="n"/>
      <c r="F9" s="91" t="n"/>
      <c r="G9" s="91" t="n"/>
    </row>
    <row r="10" ht="19.5" customHeight="1" s="54">
      <c r="A10" s="92" t="n"/>
      <c r="B10" s="92" t="n"/>
      <c r="C10" s="92" t="n"/>
      <c r="D10" s="92" t="n"/>
      <c r="E10" s="92" t="n"/>
      <c r="F10" s="92" t="n"/>
      <c r="G10" s="92" t="n"/>
    </row>
    <row r="11" ht="19.5" customHeight="1" s="54">
      <c r="A11" s="91" t="n"/>
      <c r="B11" s="91" t="n"/>
      <c r="C11" s="91" t="n"/>
      <c r="D11" s="91" t="n"/>
      <c r="E11" s="91" t="n"/>
      <c r="F11" s="91" t="n"/>
      <c r="G11" s="91" t="n"/>
    </row>
    <row r="12" ht="19.5" customHeight="1" s="54">
      <c r="A12" s="92" t="n"/>
      <c r="B12" s="92" t="n"/>
      <c r="C12" s="92" t="n"/>
      <c r="D12" s="92" t="n"/>
      <c r="E12" s="92" t="n"/>
      <c r="F12" s="92" t="n"/>
      <c r="G12" s="92" t="n"/>
    </row>
    <row r="13" ht="19.5" customHeight="1" s="54">
      <c r="A13" s="91" t="n"/>
      <c r="B13" s="91" t="n"/>
      <c r="C13" s="91" t="n"/>
      <c r="D13" s="91" t="n"/>
      <c r="E13" s="91" t="n"/>
      <c r="F13" s="91" t="n"/>
      <c r="G13" s="91" t="n"/>
    </row>
    <row r="14" ht="19.5" customHeight="1" s="54">
      <c r="A14" s="92" t="n"/>
      <c r="B14" s="92" t="n"/>
      <c r="C14" s="92" t="n"/>
      <c r="D14" s="92" t="n"/>
      <c r="E14" s="92" t="n"/>
      <c r="F14" s="92" t="n"/>
      <c r="G14" s="92" t="n"/>
    </row>
    <row r="15" ht="19.5" customHeight="1" s="54">
      <c r="A15" s="91" t="n"/>
      <c r="B15" s="91" t="n"/>
      <c r="C15" s="91" t="n"/>
      <c r="D15" s="91" t="n"/>
      <c r="E15" s="91" t="n"/>
      <c r="F15" s="91" t="n"/>
      <c r="G15" s="91" t="n"/>
    </row>
    <row r="16" ht="19.5" customHeight="1" s="54">
      <c r="A16" s="92" t="n"/>
      <c r="B16" s="92" t="n"/>
      <c r="C16" s="92" t="n"/>
      <c r="D16" s="92" t="n"/>
      <c r="E16" s="92" t="n"/>
      <c r="F16" s="92" t="n"/>
      <c r="G16" s="92" t="n"/>
    </row>
    <row r="17" ht="19.5" customHeight="1" s="54">
      <c r="A17" s="91" t="n"/>
      <c r="B17" s="91" t="n"/>
      <c r="C17" s="91" t="n"/>
      <c r="D17" s="91" t="n"/>
      <c r="E17" s="91" t="n"/>
      <c r="F17" s="91" t="n"/>
      <c r="G17" s="91" t="n"/>
    </row>
    <row r="18" ht="19.5" customHeight="1" s="54">
      <c r="A18" s="92" t="n"/>
      <c r="B18" s="92" t="n"/>
      <c r="C18" s="92" t="n"/>
      <c r="D18" s="92" t="n"/>
      <c r="E18" s="92" t="n"/>
      <c r="F18" s="92" t="n"/>
      <c r="G18" s="92" t="n"/>
    </row>
    <row r="19" ht="19.5" customHeight="1" s="54">
      <c r="A19" s="91" t="n"/>
      <c r="B19" s="91" t="n"/>
      <c r="C19" s="91" t="n"/>
      <c r="D19" s="91" t="n"/>
      <c r="E19" s="91" t="n"/>
      <c r="F19" s="91" t="n"/>
      <c r="G19" s="91" t="n"/>
    </row>
    <row r="20" ht="19.5" customHeight="1" s="54">
      <c r="A20" s="92" t="n"/>
      <c r="B20" s="92" t="n"/>
      <c r="C20" s="92" t="n"/>
      <c r="D20" s="92" t="n"/>
      <c r="E20" s="92" t="n"/>
      <c r="F20" s="92" t="n"/>
      <c r="G20" s="92" t="n"/>
    </row>
    <row r="21" ht="19.5" customHeight="1" s="54">
      <c r="A21" s="91" t="n"/>
      <c r="B21" s="91" t="n"/>
      <c r="C21" s="91" t="n"/>
      <c r="D21" s="91" t="n"/>
      <c r="E21" s="91" t="n"/>
      <c r="F21" s="91" t="n"/>
      <c r="G21" s="91" t="n"/>
    </row>
    <row r="22" ht="19.5" customHeight="1" s="54">
      <c r="A22" s="92" t="n"/>
      <c r="B22" s="92" t="n"/>
      <c r="C22" s="92" t="n"/>
      <c r="D22" s="92" t="n"/>
      <c r="E22" s="92" t="n"/>
      <c r="F22" s="92" t="n"/>
      <c r="G22" s="92" t="n"/>
    </row>
    <row r="23" ht="19.5" customHeight="1" s="54">
      <c r="A23" s="91" t="n"/>
      <c r="B23" s="91" t="n"/>
      <c r="C23" s="91" t="n"/>
      <c r="D23" s="91" t="n"/>
      <c r="E23" s="91" t="n"/>
      <c r="F23" s="91" t="n"/>
      <c r="G23" s="91" t="n"/>
    </row>
    <row r="24" ht="19.5" customHeight="1" s="54">
      <c r="A24" s="92" t="n"/>
      <c r="B24" s="92" t="n"/>
      <c r="C24" s="92" t="n"/>
      <c r="D24" s="92" t="n"/>
      <c r="E24" s="92" t="n"/>
      <c r="F24" s="92" t="n"/>
      <c r="G24" s="92" t="n"/>
    </row>
    <row r="25" ht="19.5" customHeight="1" s="54">
      <c r="A25" s="91" t="n"/>
      <c r="B25" s="91" t="n"/>
      <c r="C25" s="91" t="n"/>
      <c r="D25" s="91" t="n"/>
      <c r="E25" s="91" t="n"/>
      <c r="F25" s="91" t="n"/>
      <c r="G25" s="91" t="n"/>
    </row>
    <row r="26" ht="19.5" customHeight="1" s="54">
      <c r="A26" s="92" t="n"/>
      <c r="B26" s="92" t="n"/>
      <c r="C26" s="92" t="n"/>
      <c r="D26" s="92" t="n"/>
      <c r="E26" s="92" t="n"/>
      <c r="F26" s="92" t="n"/>
      <c r="G26" s="92" t="n"/>
    </row>
    <row r="27" ht="19.5" customHeight="1" s="54">
      <c r="A27" s="91" t="n"/>
      <c r="B27" s="91" t="n"/>
      <c r="C27" s="91" t="n"/>
      <c r="D27" s="91" t="n"/>
      <c r="E27" s="91" t="n"/>
      <c r="F27" s="91" t="n"/>
      <c r="G27" s="91" t="n"/>
    </row>
    <row r="28" ht="19.5" customHeight="1" s="54">
      <c r="A28" s="92" t="n"/>
      <c r="B28" s="92" t="n"/>
      <c r="C28" s="92" t="n"/>
      <c r="D28" s="92" t="n"/>
      <c r="E28" s="92" t="n"/>
      <c r="F28" s="92" t="n"/>
      <c r="G28" s="92" t="n"/>
    </row>
    <row r="29" ht="19.5" customHeight="1" s="54">
      <c r="A29" s="91" t="n"/>
      <c r="B29" s="91" t="n"/>
      <c r="C29" s="91" t="n"/>
      <c r="D29" s="91" t="n"/>
      <c r="E29" s="91" t="n"/>
      <c r="F29" s="91" t="n"/>
      <c r="G29" s="91" t="n"/>
    </row>
    <row r="30" ht="19.5" customHeight="1" s="54">
      <c r="A30" s="92" t="n"/>
      <c r="B30" s="92" t="n"/>
      <c r="C30" s="92" t="n"/>
      <c r="D30" s="92" t="n"/>
      <c r="E30" s="92" t="n"/>
      <c r="F30" s="92" t="n"/>
      <c r="G30" s="92" t="n"/>
    </row>
    <row r="31" ht="19.5" customHeight="1" s="54">
      <c r="A31" s="91" t="n"/>
      <c r="B31" s="91" t="n"/>
      <c r="C31" s="91" t="n"/>
      <c r="D31" s="91" t="n"/>
      <c r="E31" s="91" t="n"/>
      <c r="F31" s="91" t="n"/>
      <c r="G31" s="91" t="n"/>
    </row>
    <row r="32" ht="19.5" customHeight="1" s="54">
      <c r="A32" s="92" t="n"/>
      <c r="B32" s="92" t="n"/>
      <c r="C32" s="92" t="n"/>
      <c r="D32" s="92" t="n"/>
      <c r="E32" s="92" t="n"/>
      <c r="F32" s="92" t="n"/>
      <c r="G32" s="92" t="n"/>
    </row>
    <row r="33" ht="19.5" customHeight="1" s="54">
      <c r="A33" s="91" t="n"/>
      <c r="B33" s="91" t="n"/>
      <c r="C33" s="91" t="n"/>
      <c r="D33" s="91" t="n"/>
      <c r="E33" s="91" t="n"/>
      <c r="F33" s="91" t="n"/>
      <c r="G33" s="91" t="n"/>
    </row>
    <row r="34" ht="19.5" customHeight="1" s="54">
      <c r="A34" s="92" t="n"/>
      <c r="B34" s="92" t="n"/>
      <c r="C34" s="92" t="n"/>
      <c r="D34" s="92" t="n"/>
      <c r="E34" s="92" t="n"/>
      <c r="F34" s="92" t="n"/>
      <c r="G34" s="92" t="n"/>
    </row>
    <row r="35" ht="19.5" customHeight="1" s="54">
      <c r="A35" s="91" t="n"/>
      <c r="B35" s="91" t="n"/>
      <c r="C35" s="91" t="n"/>
      <c r="D35" s="91" t="n"/>
      <c r="E35" s="91" t="n"/>
      <c r="F35" s="91" t="n"/>
      <c r="G35" s="91" t="n"/>
    </row>
    <row r="36" ht="19.5" customHeight="1" s="54">
      <c r="A36" s="92" t="n"/>
      <c r="B36" s="92" t="n"/>
      <c r="C36" s="92" t="n"/>
      <c r="D36" s="92" t="n"/>
      <c r="E36" s="92" t="n"/>
      <c r="F36" s="92" t="n"/>
      <c r="G36" s="92" t="n"/>
    </row>
    <row r="37" ht="19.5" customHeight="1" s="54">
      <c r="A37" s="91" t="n"/>
      <c r="B37" s="91" t="n"/>
      <c r="C37" s="91" t="n"/>
      <c r="D37" s="91" t="n"/>
      <c r="E37" s="91" t="n"/>
      <c r="F37" s="91" t="n"/>
      <c r="G37" s="91" t="n"/>
    </row>
    <row r="38" ht="19.5" customHeight="1" s="54">
      <c r="A38" s="92" t="n"/>
      <c r="B38" s="92" t="n"/>
      <c r="C38" s="92" t="n"/>
      <c r="D38" s="92" t="n"/>
      <c r="E38" s="92" t="n"/>
      <c r="F38" s="92" t="n"/>
      <c r="G38" s="92" t="n"/>
    </row>
    <row r="39" ht="19.5" customHeight="1" s="54">
      <c r="A39" s="91" t="n"/>
      <c r="B39" s="91" t="n"/>
      <c r="C39" s="91" t="n"/>
      <c r="D39" s="91" t="n"/>
      <c r="E39" s="91" t="n"/>
      <c r="F39" s="91" t="n"/>
      <c r="G39" s="91" t="n"/>
    </row>
    <row r="40" ht="19.5" customHeight="1" s="54">
      <c r="A40" s="92" t="n"/>
      <c r="B40" s="92" t="n"/>
      <c r="C40" s="92" t="n"/>
      <c r="D40" s="92" t="n"/>
      <c r="E40" s="92" t="n"/>
      <c r="F40" s="92" t="n"/>
      <c r="G40" s="92" t="n"/>
    </row>
    <row r="41" ht="19.5" customHeight="1" s="54">
      <c r="A41" s="91" t="n"/>
      <c r="B41" s="91" t="n"/>
      <c r="C41" s="91" t="n"/>
      <c r="D41" s="91" t="n"/>
      <c r="E41" s="91" t="n"/>
      <c r="F41" s="91" t="n"/>
      <c r="G41" s="91" t="n"/>
    </row>
    <row r="42" ht="19.5" customHeight="1" s="54">
      <c r="A42" s="92" t="n"/>
      <c r="B42" s="92" t="n"/>
      <c r="C42" s="92" t="n"/>
      <c r="D42" s="92" t="n"/>
      <c r="E42" s="92" t="n"/>
      <c r="F42" s="92" t="n"/>
      <c r="G42" s="92" t="n"/>
    </row>
    <row r="43" ht="19.5" customHeight="1" s="54">
      <c r="A43" s="91" t="n"/>
      <c r="B43" s="91" t="n"/>
      <c r="C43" s="91" t="n"/>
      <c r="D43" s="91" t="n"/>
      <c r="E43" s="91" t="n"/>
      <c r="F43" s="91" t="n"/>
      <c r="G43" s="91" t="n"/>
    </row>
    <row r="44" ht="19.5" customHeight="1" s="54">
      <c r="A44" s="92" t="n"/>
      <c r="B44" s="92" t="n"/>
      <c r="C44" s="92" t="n"/>
      <c r="D44" s="92" t="n"/>
      <c r="E44" s="92" t="n"/>
      <c r="F44" s="92" t="n"/>
      <c r="G44" s="92" t="n"/>
    </row>
    <row r="45" ht="19.5" customHeight="1" s="54">
      <c r="A45" s="91" t="n"/>
      <c r="B45" s="91" t="n"/>
      <c r="C45" s="91" t="n"/>
      <c r="D45" s="91" t="n"/>
      <c r="E45" s="91" t="n"/>
      <c r="F45" s="91" t="n"/>
      <c r="G45" s="91" t="n"/>
    </row>
    <row r="46" ht="19.5" customHeight="1" s="54">
      <c r="A46" s="92" t="n"/>
      <c r="B46" s="92" t="n"/>
      <c r="C46" s="92" t="n"/>
      <c r="D46" s="92" t="n"/>
      <c r="E46" s="92" t="n"/>
      <c r="F46" s="92" t="n"/>
      <c r="G46" s="92" t="n"/>
    </row>
    <row r="47" ht="19.5" customHeight="1" s="54">
      <c r="A47" s="91" t="n"/>
      <c r="B47" s="91" t="n"/>
      <c r="C47" s="91" t="n"/>
      <c r="D47" s="91" t="n"/>
      <c r="E47" s="91" t="n"/>
      <c r="F47" s="91" t="n"/>
      <c r="G47" s="91" t="n"/>
    </row>
    <row r="48" ht="19.5" customHeight="1" s="54">
      <c r="A48" s="92" t="n"/>
      <c r="B48" s="92" t="n"/>
      <c r="C48" s="92" t="n"/>
      <c r="D48" s="92" t="n"/>
      <c r="E48" s="92" t="n"/>
      <c r="F48" s="92" t="n"/>
      <c r="G48" s="92" t="n"/>
    </row>
    <row r="49" ht="19.5" customHeight="1" s="54">
      <c r="A49" s="91" t="n"/>
      <c r="B49" s="91" t="n"/>
      <c r="C49" s="91" t="n"/>
      <c r="D49" s="91" t="n"/>
      <c r="E49" s="91" t="n"/>
      <c r="F49" s="91" t="n"/>
      <c r="G49" s="91" t="n"/>
    </row>
    <row r="50" ht="19.5" customHeight="1" s="54">
      <c r="A50" s="92" t="n"/>
      <c r="B50" s="92" t="n"/>
      <c r="C50" s="92" t="n"/>
      <c r="D50" s="92" t="n"/>
      <c r="E50" s="92" t="n"/>
      <c r="F50" s="92" t="n"/>
      <c r="G50" s="92" t="n"/>
    </row>
    <row r="51" ht="19.5" customHeight="1" s="54">
      <c r="A51" s="91" t="n"/>
      <c r="B51" s="91" t="n"/>
      <c r="C51" s="91" t="n"/>
      <c r="D51" s="91" t="n"/>
      <c r="E51" s="91" t="n"/>
      <c r="F51" s="91" t="n"/>
      <c r="G51" s="91" t="n"/>
    </row>
    <row r="52" ht="19.5" customHeight="1" s="54">
      <c r="A52" s="92" t="n"/>
      <c r="B52" s="92" t="n"/>
      <c r="C52" s="92" t="n"/>
      <c r="D52" s="92" t="n"/>
      <c r="E52" s="92" t="n"/>
      <c r="F52" s="92" t="n"/>
      <c r="G52" s="92" t="n"/>
    </row>
    <row r="53" ht="19.5" customHeight="1" s="54">
      <c r="A53" s="91" t="n"/>
      <c r="B53" s="91" t="n"/>
      <c r="C53" s="91" t="n"/>
      <c r="D53" s="91" t="n"/>
      <c r="E53" s="91" t="n"/>
      <c r="F53" s="91" t="n"/>
      <c r="G53" s="91" t="n"/>
    </row>
    <row r="54" ht="19.5" customHeight="1" s="54">
      <c r="A54" s="92" t="n"/>
      <c r="B54" s="92" t="n"/>
      <c r="C54" s="92" t="n"/>
      <c r="D54" s="92" t="n"/>
      <c r="E54" s="92" t="n"/>
      <c r="F54" s="92" t="n"/>
      <c r="G54" s="92" t="n"/>
    </row>
    <row r="55" ht="19.5" customHeight="1" s="54">
      <c r="A55" s="91" t="n"/>
      <c r="B55" s="91" t="n"/>
      <c r="C55" s="91" t="n"/>
      <c r="D55" s="91" t="n"/>
      <c r="E55" s="91" t="n"/>
      <c r="F55" s="91" t="n"/>
      <c r="G55" s="91" t="n"/>
    </row>
    <row r="56" ht="19.5" customHeight="1" s="54">
      <c r="A56" s="92" t="n"/>
      <c r="B56" s="92" t="n"/>
      <c r="C56" s="92" t="n"/>
      <c r="D56" s="92" t="n"/>
      <c r="E56" s="92" t="n"/>
      <c r="F56" s="92" t="n"/>
      <c r="G56" s="92" t="n"/>
    </row>
    <row r="57" ht="19.5" customHeight="1" s="54">
      <c r="A57" s="91" t="n"/>
      <c r="B57" s="91" t="n"/>
      <c r="C57" s="91" t="n"/>
      <c r="D57" s="91" t="n"/>
      <c r="E57" s="91" t="n"/>
      <c r="F57" s="91" t="n"/>
      <c r="G57" s="91" t="n"/>
    </row>
    <row r="58" ht="19.5" customHeight="1" s="54">
      <c r="A58" s="92" t="n"/>
      <c r="B58" s="92" t="n"/>
      <c r="C58" s="92" t="n"/>
      <c r="D58" s="92" t="n"/>
      <c r="E58" s="92" t="n"/>
      <c r="F58" s="92" t="n"/>
      <c r="G58" s="92" t="n"/>
    </row>
    <row r="59" ht="19.5" customHeight="1" s="54">
      <c r="A59" s="91" t="n"/>
      <c r="B59" s="91" t="n"/>
      <c r="C59" s="91" t="n"/>
      <c r="D59" s="91" t="n"/>
      <c r="E59" s="91" t="n"/>
      <c r="F59" s="91" t="n"/>
      <c r="G59" s="91" t="n"/>
    </row>
    <row r="60" ht="19.5" customHeight="1" s="54">
      <c r="A60" s="92" t="n"/>
      <c r="B60" s="92" t="n"/>
      <c r="C60" s="92" t="n"/>
      <c r="D60" s="92" t="n"/>
      <c r="E60" s="92" t="n"/>
      <c r="F60" s="92" t="n"/>
      <c r="G60" s="92" t="n"/>
    </row>
    <row r="61" ht="19.5" customHeight="1" s="54">
      <c r="A61" s="91" t="n"/>
      <c r="B61" s="91" t="n"/>
      <c r="C61" s="91" t="n"/>
      <c r="D61" s="91" t="n"/>
      <c r="E61" s="91" t="n"/>
      <c r="F61" s="91" t="n"/>
      <c r="G61" s="91" t="n"/>
    </row>
    <row r="62" ht="19.5" customHeight="1" s="54">
      <c r="A62" s="92" t="n"/>
      <c r="B62" s="92" t="n"/>
      <c r="C62" s="92" t="n"/>
      <c r="D62" s="92" t="n"/>
      <c r="E62" s="92" t="n"/>
      <c r="F62" s="92" t="n"/>
      <c r="G62" s="92" t="n"/>
    </row>
    <row r="63" ht="19.5" customHeight="1" s="54">
      <c r="A63" s="91" t="n"/>
      <c r="B63" s="91" t="n"/>
      <c r="C63" s="91" t="n"/>
      <c r="D63" s="91" t="n"/>
      <c r="E63" s="91" t="n"/>
      <c r="F63" s="91" t="n"/>
      <c r="G63" s="91" t="n"/>
    </row>
    <row r="64" ht="19.5" customHeight="1" s="54">
      <c r="A64" s="92" t="n"/>
      <c r="B64" s="92" t="n"/>
      <c r="C64" s="92" t="n"/>
      <c r="D64" s="92" t="n"/>
      <c r="E64" s="92" t="n"/>
      <c r="F64" s="92" t="n"/>
      <c r="G64" s="92" t="n"/>
    </row>
    <row r="65" ht="19.5" customHeight="1" s="54">
      <c r="A65" s="91" t="n"/>
      <c r="B65" s="91" t="n"/>
      <c r="C65" s="91" t="n"/>
      <c r="D65" s="91" t="n"/>
      <c r="E65" s="91" t="n"/>
      <c r="F65" s="91" t="n"/>
      <c r="G65" s="91" t="n"/>
    </row>
    <row r="66" ht="19.5" customHeight="1" s="54">
      <c r="A66" s="92" t="n"/>
      <c r="B66" s="92" t="n"/>
      <c r="C66" s="92" t="n"/>
      <c r="D66" s="92" t="n"/>
      <c r="E66" s="92" t="n"/>
      <c r="F66" s="92" t="n"/>
      <c r="G66" s="92" t="n"/>
    </row>
    <row r="67" ht="19.5" customHeight="1" s="54">
      <c r="A67" s="91" t="n"/>
      <c r="B67" s="91" t="n"/>
      <c r="C67" s="91" t="n"/>
      <c r="D67" s="91" t="n"/>
      <c r="E67" s="91" t="n"/>
      <c r="F67" s="91" t="n"/>
      <c r="G67" s="91" t="n"/>
    </row>
    <row r="68" ht="19.5" customHeight="1" s="54">
      <c r="A68" s="92" t="n"/>
      <c r="B68" s="92" t="n"/>
      <c r="C68" s="92" t="n"/>
      <c r="D68" s="92" t="n"/>
      <c r="E68" s="92" t="n"/>
      <c r="F68" s="92" t="n"/>
      <c r="G68" s="92" t="n"/>
    </row>
    <row r="69" ht="19.5" customHeight="1" s="54">
      <c r="A69" s="91" t="n"/>
      <c r="B69" s="91" t="n"/>
      <c r="C69" s="91" t="n"/>
      <c r="D69" s="91" t="n"/>
      <c r="E69" s="91" t="n"/>
      <c r="F69" s="91" t="n"/>
      <c r="G69" s="91" t="n"/>
    </row>
    <row r="70" ht="19.5" customHeight="1" s="54">
      <c r="A70" s="92" t="n"/>
      <c r="B70" s="92" t="n"/>
      <c r="C70" s="92" t="n"/>
      <c r="D70" s="92" t="n"/>
      <c r="E70" s="92" t="n"/>
      <c r="F70" s="92" t="n"/>
      <c r="G70" s="92" t="n"/>
    </row>
    <row r="71" ht="19.5" customHeight="1" s="54">
      <c r="A71" s="91" t="n"/>
      <c r="B71" s="91" t="n"/>
      <c r="C71" s="91" t="n"/>
      <c r="D71" s="91" t="n"/>
      <c r="E71" s="91" t="n"/>
      <c r="F71" s="91" t="n"/>
      <c r="G71" s="91" t="n"/>
    </row>
    <row r="72" ht="19.5" customHeight="1" s="54">
      <c r="A72" s="92" t="n"/>
      <c r="B72" s="92" t="n"/>
      <c r="C72" s="92" t="n"/>
      <c r="D72" s="92" t="n"/>
      <c r="E72" s="92" t="n"/>
      <c r="F72" s="92" t="n"/>
      <c r="G72" s="92" t="n"/>
    </row>
    <row r="73" ht="19.5" customHeight="1" s="54">
      <c r="A73" s="91" t="n"/>
      <c r="B73" s="91" t="n"/>
      <c r="C73" s="91" t="n"/>
      <c r="D73" s="91" t="n"/>
      <c r="E73" s="91" t="n"/>
      <c r="F73" s="91" t="n"/>
      <c r="G73" s="91" t="n"/>
    </row>
    <row r="74" ht="19.5" customHeight="1" s="54">
      <c r="A74" s="92" t="n"/>
      <c r="B74" s="92" t="n"/>
      <c r="C74" s="92" t="n"/>
      <c r="D74" s="92" t="n"/>
      <c r="E74" s="92" t="n"/>
      <c r="F74" s="92" t="n"/>
      <c r="G74" s="92" t="n"/>
    </row>
    <row r="75" ht="19.5" customHeight="1" s="54">
      <c r="A75" s="91" t="n"/>
      <c r="B75" s="91" t="n"/>
      <c r="C75" s="91" t="n"/>
      <c r="D75" s="91" t="n"/>
      <c r="E75" s="91" t="n"/>
      <c r="F75" s="91" t="n"/>
      <c r="G75" s="91" t="n"/>
    </row>
    <row r="76" ht="19.5" customHeight="1" s="54">
      <c r="A76" s="92" t="n"/>
      <c r="B76" s="92" t="n"/>
      <c r="C76" s="92" t="n"/>
      <c r="D76" s="92" t="n"/>
      <c r="E76" s="92" t="n"/>
      <c r="F76" s="92" t="n"/>
      <c r="G76" s="92" t="n"/>
    </row>
    <row r="77" ht="19.5" customHeight="1" s="54">
      <c r="A77" s="91" t="n"/>
      <c r="B77" s="91" t="n"/>
      <c r="C77" s="91" t="n"/>
      <c r="D77" s="91" t="n"/>
      <c r="E77" s="91" t="n"/>
      <c r="F77" s="91" t="n"/>
      <c r="G77" s="91" t="n"/>
    </row>
    <row r="78" ht="19.5" customHeight="1" s="54">
      <c r="A78" s="92" t="n"/>
      <c r="B78" s="92" t="n"/>
      <c r="C78" s="92" t="n"/>
      <c r="D78" s="92" t="n"/>
      <c r="E78" s="92" t="n"/>
      <c r="F78" s="92" t="n"/>
      <c r="G78" s="92" t="n"/>
    </row>
    <row r="79" ht="19.5" customHeight="1" s="54">
      <c r="A79" s="91" t="n"/>
      <c r="B79" s="91" t="n"/>
      <c r="C79" s="91" t="n"/>
      <c r="D79" s="91" t="n"/>
      <c r="E79" s="91" t="n"/>
      <c r="F79" s="91" t="n"/>
      <c r="G79" s="91" t="n"/>
    </row>
    <row r="80" ht="19.5" customHeight="1" s="54">
      <c r="A80" s="92" t="n"/>
      <c r="B80" s="92" t="n"/>
      <c r="C80" s="92" t="n"/>
      <c r="D80" s="92" t="n"/>
      <c r="E80" s="92" t="n"/>
      <c r="F80" s="92" t="n"/>
      <c r="G80" s="92" t="n"/>
    </row>
    <row r="81" ht="19.5" customHeight="1" s="54">
      <c r="A81" s="91" t="n"/>
      <c r="B81" s="91" t="n"/>
      <c r="C81" s="91" t="n"/>
      <c r="D81" s="91" t="n"/>
      <c r="E81" s="91" t="n"/>
      <c r="F81" s="91" t="n"/>
      <c r="G81" s="91" t="n"/>
    </row>
    <row r="82" ht="19.5" customHeight="1" s="54">
      <c r="A82" s="92" t="n"/>
      <c r="B82" s="92" t="n"/>
      <c r="C82" s="92" t="n"/>
      <c r="D82" s="92" t="n"/>
      <c r="E82" s="92" t="n"/>
      <c r="F82" s="92" t="n"/>
      <c r="G82" s="92" t="n"/>
    </row>
    <row r="83" ht="19.5" customHeight="1" s="54">
      <c r="A83" s="91" t="n"/>
      <c r="B83" s="91" t="n"/>
      <c r="C83" s="91" t="n"/>
      <c r="D83" s="91" t="n"/>
      <c r="E83" s="91" t="n"/>
      <c r="F83" s="91" t="n"/>
      <c r="G83" s="91" t="n"/>
    </row>
    <row r="84" ht="19.5" customHeight="1" s="54">
      <c r="A84" s="92" t="n"/>
      <c r="B84" s="92" t="n"/>
      <c r="C84" s="92" t="n"/>
      <c r="D84" s="92" t="n"/>
      <c r="E84" s="92" t="n"/>
      <c r="F84" s="92" t="n"/>
      <c r="G84" s="92" t="n"/>
    </row>
    <row r="85" ht="19.5" customHeight="1" s="54">
      <c r="A85" s="91" t="n"/>
      <c r="B85" s="91" t="n"/>
      <c r="C85" s="91" t="n"/>
      <c r="D85" s="91" t="n"/>
      <c r="E85" s="91" t="n"/>
      <c r="F85" s="91" t="n"/>
      <c r="G85" s="91" t="n"/>
    </row>
    <row r="86" ht="19.5" customHeight="1" s="54">
      <c r="A86" s="92" t="n"/>
      <c r="B86" s="92" t="n"/>
      <c r="C86" s="92" t="n"/>
      <c r="D86" s="92" t="n"/>
      <c r="E86" s="92" t="n"/>
      <c r="F86" s="92" t="n"/>
      <c r="G86" s="92" t="n"/>
    </row>
    <row r="87" ht="19.5" customHeight="1" s="54">
      <c r="A87" s="91" t="n"/>
      <c r="B87" s="91" t="n"/>
      <c r="C87" s="91" t="n"/>
      <c r="D87" s="91" t="n"/>
      <c r="E87" s="91" t="n"/>
      <c r="F87" s="91" t="n"/>
      <c r="G87" s="91" t="n"/>
    </row>
    <row r="88" ht="19.5" customHeight="1" s="54">
      <c r="A88" s="92" t="n"/>
      <c r="B88" s="92" t="n"/>
      <c r="C88" s="92" t="n"/>
      <c r="D88" s="92" t="n"/>
      <c r="E88" s="92" t="n"/>
      <c r="F88" s="92" t="n"/>
      <c r="G88" s="92" t="n"/>
    </row>
    <row r="89" ht="19.5" customHeight="1" s="54">
      <c r="A89" s="91" t="n"/>
      <c r="B89" s="91" t="n"/>
      <c r="C89" s="91" t="n"/>
      <c r="D89" s="91" t="n"/>
      <c r="E89" s="91" t="n"/>
      <c r="F89" s="91" t="n"/>
      <c r="G89" s="91" t="n"/>
    </row>
    <row r="90" ht="19.5" customHeight="1" s="54">
      <c r="A90" s="92" t="n"/>
      <c r="B90" s="92" t="n"/>
      <c r="C90" s="92" t="n"/>
      <c r="D90" s="92" t="n"/>
      <c r="E90" s="92" t="n"/>
      <c r="F90" s="92" t="n"/>
      <c r="G90" s="92" t="n"/>
    </row>
    <row r="91" ht="19.5" customHeight="1" s="54">
      <c r="A91" s="91" t="n"/>
      <c r="B91" s="91" t="n"/>
      <c r="C91" s="91" t="n"/>
      <c r="D91" s="91" t="n"/>
      <c r="E91" s="91" t="n"/>
      <c r="F91" s="91" t="n"/>
      <c r="G91" s="91" t="n"/>
    </row>
    <row r="92" ht="19.5" customHeight="1" s="54">
      <c r="A92" s="92" t="n"/>
      <c r="B92" s="92" t="n"/>
      <c r="C92" s="92" t="n"/>
      <c r="D92" s="92" t="n"/>
      <c r="E92" s="92" t="n"/>
      <c r="F92" s="92" t="n"/>
      <c r="G92" s="92" t="n"/>
    </row>
    <row r="93" ht="19.5" customHeight="1" s="54">
      <c r="A93" s="91" t="n"/>
      <c r="B93" s="91" t="n"/>
      <c r="C93" s="91" t="n"/>
      <c r="D93" s="91" t="n"/>
      <c r="E93" s="91" t="n"/>
      <c r="F93" s="91" t="n"/>
      <c r="G93" s="91" t="n"/>
    </row>
    <row r="94" ht="19.5" customHeight="1" s="54">
      <c r="A94" s="92" t="n"/>
      <c r="B94" s="92" t="n"/>
      <c r="C94" s="92" t="n"/>
      <c r="D94" s="92" t="n"/>
      <c r="E94" s="92" t="n"/>
      <c r="F94" s="92" t="n"/>
      <c r="G94" s="92" t="n"/>
    </row>
    <row r="95" ht="19.5" customHeight="1" s="54">
      <c r="A95" s="91" t="n"/>
      <c r="B95" s="91" t="n"/>
      <c r="C95" s="91" t="n"/>
      <c r="D95" s="91" t="n"/>
      <c r="E95" s="91" t="n"/>
      <c r="F95" s="91" t="n"/>
      <c r="G95" s="91" t="n"/>
    </row>
    <row r="96" ht="19.5" customHeight="1" s="54">
      <c r="A96" s="92" t="n"/>
      <c r="B96" s="92" t="n"/>
      <c r="C96" s="92" t="n"/>
      <c r="D96" s="92" t="n"/>
      <c r="E96" s="92" t="n"/>
      <c r="F96" s="92" t="n"/>
      <c r="G96" s="92" t="n"/>
    </row>
    <row r="97" ht="19.5" customHeight="1" s="54">
      <c r="A97" s="91" t="n"/>
      <c r="B97" s="91" t="n"/>
      <c r="C97" s="91" t="n"/>
      <c r="D97" s="91" t="n"/>
      <c r="E97" s="91" t="n"/>
      <c r="F97" s="91" t="n"/>
      <c r="G97" s="91" t="n"/>
    </row>
    <row r="98" ht="19.5" customHeight="1" s="54">
      <c r="A98" s="92" t="n"/>
      <c r="B98" s="92" t="n"/>
      <c r="C98" s="92" t="n"/>
      <c r="D98" s="92" t="n"/>
      <c r="E98" s="92" t="n"/>
      <c r="F98" s="92" t="n"/>
      <c r="G98" s="92" t="n"/>
    </row>
    <row r="99" ht="19.5" customHeight="1" s="54">
      <c r="A99" s="91" t="n"/>
      <c r="B99" s="91" t="n"/>
      <c r="C99" s="91" t="n"/>
      <c r="D99" s="91" t="n"/>
      <c r="E99" s="91" t="n"/>
      <c r="F99" s="91" t="n"/>
      <c r="G99" s="91" t="n"/>
    </row>
    <row r="100" ht="19.5" customHeight="1" s="54">
      <c r="A100" s="92" t="n"/>
      <c r="B100" s="92" t="n"/>
      <c r="C100" s="92" t="n"/>
      <c r="D100" s="92" t="n"/>
      <c r="E100" s="92" t="n"/>
      <c r="F100" s="92" t="n"/>
      <c r="G100" s="92" t="n"/>
    </row>
    <row r="101" ht="19.5" customHeight="1" s="54">
      <c r="A101" s="91" t="n"/>
      <c r="B101" s="91" t="n"/>
      <c r="C101" s="91" t="n"/>
      <c r="D101" s="91" t="n"/>
      <c r="E101" s="91" t="n"/>
      <c r="F101" s="91" t="n"/>
      <c r="G101" s="91" t="n"/>
    </row>
    <row r="102" ht="19.5" customHeight="1" s="54">
      <c r="A102" s="92" t="n"/>
      <c r="B102" s="92" t="n"/>
      <c r="C102" s="92" t="n"/>
      <c r="D102" s="92" t="n"/>
      <c r="E102" s="92" t="n"/>
      <c r="F102" s="92" t="n"/>
      <c r="G102" s="92" t="n"/>
    </row>
    <row r="103" ht="19.5" customHeight="1" s="54">
      <c r="A103" s="91" t="n"/>
      <c r="B103" s="91" t="n"/>
      <c r="C103" s="91" t="n"/>
      <c r="D103" s="91" t="n"/>
      <c r="E103" s="91" t="n"/>
      <c r="F103" s="91" t="n"/>
      <c r="G103" s="91" t="n"/>
    </row>
  </sheetData>
  <autoFilter ref="A3:G3"/>
  <mergeCells count="2">
    <mergeCell ref="A2:G2"/>
    <mergeCell ref="A1:G1"/>
  </mergeCells>
  <dataValidations count="1">
    <dataValidation sqref="F4:F103" showDropDown="0" showInputMessage="0" showErrorMessage="1" allowBlank="0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53" min="1" max="2"/>
    <col width="40" customWidth="1" style="53" min="3" max="3"/>
  </cols>
  <sheetData>
    <row r="1" ht="30" customHeight="1" s="54">
      <c r="A1" s="55" t="inlineStr">
        <is>
          <t>DESIGN EFFORT T-SHIRT SIZING</t>
        </is>
      </c>
    </row>
    <row r="2" ht="9.75" customHeight="1" s="54"/>
    <row r="3" ht="19.5" customHeight="1" s="54">
      <c r="A3" s="95" t="inlineStr">
        <is>
          <t>N.A.</t>
        </is>
      </c>
      <c r="B3" s="96" t="n">
        <v>0</v>
      </c>
    </row>
    <row r="4" ht="19.5" customHeight="1" s="54">
      <c r="A4" s="95" t="inlineStr">
        <is>
          <t>XS</t>
        </is>
      </c>
      <c r="B4" s="97" t="n">
        <v>1</v>
      </c>
    </row>
    <row r="5" ht="19.5" customHeight="1" s="54">
      <c r="A5" s="95" t="inlineStr">
        <is>
          <t>S</t>
        </is>
      </c>
      <c r="B5" s="97" t="n">
        <v>2</v>
      </c>
    </row>
    <row r="6" ht="19.5" customHeight="1" s="54">
      <c r="A6" s="95" t="inlineStr">
        <is>
          <t>M</t>
        </is>
      </c>
      <c r="B6" s="97" t="n">
        <v>3</v>
      </c>
    </row>
    <row r="7" ht="19.5" customHeight="1" s="54">
      <c r="A7" s="95" t="inlineStr">
        <is>
          <t>L</t>
        </is>
      </c>
      <c r="B7" s="97" t="n">
        <v>5</v>
      </c>
    </row>
    <row r="8" ht="19.5" customHeight="1" s="54">
      <c r="A8" s="95" t="inlineStr">
        <is>
          <t>XL</t>
        </is>
      </c>
      <c r="B8" s="97" t="n">
        <v>10</v>
      </c>
      <c r="C8" s="98" t="inlineStr">
        <is>
          <t>&lt;&lt; Consider decomposing</t>
        </is>
      </c>
    </row>
    <row r="9" ht="19.5" customHeight="1" s="54">
      <c r="A9" s="95" t="inlineStr">
        <is>
          <t>2XL</t>
        </is>
      </c>
      <c r="B9" s="97" t="n">
        <v>20</v>
      </c>
      <c r="C9" s="98" t="inlineStr">
        <is>
          <t>&lt;&lt; Needs further decomposition</t>
        </is>
      </c>
    </row>
    <row r="10" ht="9.75" customHeight="1" s="54"/>
    <row r="11" ht="19.5" customHeight="1" s="54">
      <c r="A11" s="70" t="inlineStr">
        <is>
          <t>Usage Notes:</t>
        </is>
      </c>
    </row>
    <row r="12" ht="30" customHeight="1" s="54">
      <c r="B12" s="99" t="inlineStr">
        <is>
          <t>Refer to the Complexity Guide before assigning sizes. XL and 2XL items should be broken down before sprint planning.</t>
        </is>
      </c>
    </row>
    <row r="13" ht="19.5" customHeight="1" s="54">
      <c r="B13" s="99" t="inlineStr">
        <is>
          <t>N.A. = task not applicable to this track for the given user story.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53" min="1" max="2"/>
    <col width="40" customWidth="1" style="53" min="3" max="3"/>
  </cols>
  <sheetData>
    <row r="1" ht="30" customHeight="1" s="54">
      <c r="A1" s="55" t="inlineStr">
        <is>
          <t>FE EFFORT T-SHIRT SIZING</t>
        </is>
      </c>
    </row>
    <row r="2" ht="9.75" customHeight="1" s="54"/>
    <row r="3" ht="19.5" customHeight="1" s="54">
      <c r="A3" s="95" t="inlineStr">
        <is>
          <t>N.A.</t>
        </is>
      </c>
      <c r="B3" s="96" t="n">
        <v>0</v>
      </c>
    </row>
    <row r="4" ht="19.5" customHeight="1" s="54">
      <c r="A4" s="95" t="inlineStr">
        <is>
          <t>XS</t>
        </is>
      </c>
      <c r="B4" s="97" t="n">
        <v>3.5</v>
      </c>
    </row>
    <row r="5" ht="19.5" customHeight="1" s="54">
      <c r="A5" s="95" t="inlineStr">
        <is>
          <t>S</t>
        </is>
      </c>
      <c r="B5" s="97" t="n">
        <v>6</v>
      </c>
    </row>
    <row r="6" ht="19.5" customHeight="1" s="54">
      <c r="A6" s="95" t="inlineStr">
        <is>
          <t>M</t>
        </is>
      </c>
      <c r="B6" s="97" t="n">
        <v>12.5</v>
      </c>
    </row>
    <row r="7" ht="19.5" customHeight="1" s="54">
      <c r="A7" s="95" t="inlineStr">
        <is>
          <t>L</t>
        </is>
      </c>
      <c r="B7" s="97" t="n">
        <v>20</v>
      </c>
    </row>
    <row r="8" ht="19.5" customHeight="1" s="54">
      <c r="A8" s="95" t="inlineStr">
        <is>
          <t>XL</t>
        </is>
      </c>
      <c r="B8" s="97" t="n">
        <v>32.5</v>
      </c>
      <c r="C8" s="98" t="inlineStr">
        <is>
          <t>&lt;&lt; Consider decomposing</t>
        </is>
      </c>
    </row>
    <row r="9" ht="19.5" customHeight="1" s="54">
      <c r="A9" s="95" t="inlineStr">
        <is>
          <t>2XL</t>
        </is>
      </c>
      <c r="B9" s="97" t="n">
        <v>65</v>
      </c>
      <c r="C9" s="98" t="inlineStr">
        <is>
          <t>&lt;&lt; Needs further decomposition</t>
        </is>
      </c>
    </row>
    <row r="10" ht="9.75" customHeight="1" s="54"/>
    <row r="11" ht="19.5" customHeight="1" s="54">
      <c r="A11" s="70" t="inlineStr">
        <is>
          <t>Usage Notes:</t>
        </is>
      </c>
    </row>
    <row r="12" ht="30" customHeight="1" s="54">
      <c r="B12" s="99" t="inlineStr">
        <is>
          <t>Refer to the Complexity Guide before assigning sizes. XL and 2XL items should be broken down before sprint planning.</t>
        </is>
      </c>
    </row>
    <row r="13" ht="19.5" customHeight="1" s="54">
      <c r="B13" s="99" t="inlineStr">
        <is>
          <t>N.A. = task not applicable to this track for the given user story.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53" min="1" max="2"/>
    <col width="40" customWidth="1" style="53" min="3" max="3"/>
  </cols>
  <sheetData>
    <row r="1" ht="30" customHeight="1" s="54">
      <c r="A1" s="55" t="inlineStr">
        <is>
          <t>BE EFFORT T-SHIRT SIZING</t>
        </is>
      </c>
    </row>
    <row r="2" ht="9.75" customHeight="1" s="54"/>
    <row r="3" ht="19.5" customHeight="1" s="54">
      <c r="A3" s="95" t="inlineStr">
        <is>
          <t>N.A.</t>
        </is>
      </c>
      <c r="B3" s="96" t="n">
        <v>0</v>
      </c>
    </row>
    <row r="4" ht="19.5" customHeight="1" s="54">
      <c r="A4" s="95" t="inlineStr">
        <is>
          <t>XS</t>
        </is>
      </c>
      <c r="B4" s="97" t="n">
        <v>3.5</v>
      </c>
    </row>
    <row r="5" ht="19.5" customHeight="1" s="54">
      <c r="A5" s="95" t="inlineStr">
        <is>
          <t>S</t>
        </is>
      </c>
      <c r="B5" s="97" t="n">
        <v>6</v>
      </c>
    </row>
    <row r="6" ht="19.5" customHeight="1" s="54">
      <c r="A6" s="95" t="inlineStr">
        <is>
          <t>M</t>
        </is>
      </c>
      <c r="B6" s="97" t="n">
        <v>12.5</v>
      </c>
    </row>
    <row r="7" ht="19.5" customHeight="1" s="54">
      <c r="A7" s="95" t="inlineStr">
        <is>
          <t>L</t>
        </is>
      </c>
      <c r="B7" s="97" t="n">
        <v>20</v>
      </c>
    </row>
    <row r="8" ht="19.5" customHeight="1" s="54">
      <c r="A8" s="95" t="inlineStr">
        <is>
          <t>XL</t>
        </is>
      </c>
      <c r="B8" s="97" t="n">
        <v>32.5</v>
      </c>
      <c r="C8" s="98" t="inlineStr">
        <is>
          <t>&lt;&lt; Consider decomposing</t>
        </is>
      </c>
    </row>
    <row r="9" ht="19.5" customHeight="1" s="54">
      <c r="A9" s="95" t="inlineStr">
        <is>
          <t>2XL</t>
        </is>
      </c>
      <c r="B9" s="97" t="n">
        <v>65</v>
      </c>
      <c r="C9" s="98" t="inlineStr">
        <is>
          <t>&lt;&lt; Needs further decomposition</t>
        </is>
      </c>
    </row>
    <row r="10" ht="9.75" customHeight="1" s="54"/>
    <row r="11" ht="19.5" customHeight="1" s="54">
      <c r="A11" s="70" t="inlineStr">
        <is>
          <t>Usage Notes:</t>
        </is>
      </c>
    </row>
    <row r="12" ht="30" customHeight="1" s="54">
      <c r="B12" s="99" t="inlineStr">
        <is>
          <t>Refer to the Complexity Guide before assigning sizes. XL and 2XL items should be broken down before sprint planning.</t>
        </is>
      </c>
    </row>
    <row r="13" ht="19.5" customHeight="1" s="54">
      <c r="B13" s="99" t="inlineStr">
        <is>
          <t>N.A. = task not applicable to this track for the given user story.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53" min="1" max="2"/>
    <col width="40" customWidth="1" style="53" min="3" max="3"/>
  </cols>
  <sheetData>
    <row r="1" ht="30" customHeight="1" s="54">
      <c r="A1" s="55" t="inlineStr">
        <is>
          <t>AI EFFORT T-SHIRT SIZING</t>
        </is>
      </c>
    </row>
    <row r="2" ht="9.75" customHeight="1" s="54"/>
    <row r="3" ht="19.5" customHeight="1" s="54">
      <c r="A3" s="95" t="inlineStr">
        <is>
          <t>N.A.</t>
        </is>
      </c>
      <c r="B3" s="96" t="n">
        <v>0</v>
      </c>
    </row>
    <row r="4" ht="19.5" customHeight="1" s="54">
      <c r="A4" s="95" t="inlineStr">
        <is>
          <t>XS</t>
        </is>
      </c>
      <c r="B4" s="97" t="n">
        <v>2</v>
      </c>
    </row>
    <row r="5" ht="19.5" customHeight="1" s="54">
      <c r="A5" s="95" t="inlineStr">
        <is>
          <t>S</t>
        </is>
      </c>
      <c r="B5" s="97" t="n">
        <v>5</v>
      </c>
    </row>
    <row r="6" ht="19.5" customHeight="1" s="54">
      <c r="A6" s="95" t="inlineStr">
        <is>
          <t>M</t>
        </is>
      </c>
      <c r="B6" s="97" t="n">
        <v>10</v>
      </c>
    </row>
    <row r="7" ht="19.5" customHeight="1" s="54">
      <c r="A7" s="95" t="inlineStr">
        <is>
          <t>L</t>
        </is>
      </c>
      <c r="B7" s="97" t="n">
        <v>20</v>
      </c>
    </row>
    <row r="8" ht="19.5" customHeight="1" s="54">
      <c r="A8" s="95" t="inlineStr">
        <is>
          <t>XL</t>
        </is>
      </c>
      <c r="B8" s="97" t="n">
        <v>40</v>
      </c>
      <c r="C8" s="98" t="inlineStr">
        <is>
          <t>&lt;&lt; Consider decomposing</t>
        </is>
      </c>
    </row>
    <row r="9" ht="19.5" customHeight="1" s="54">
      <c r="A9" s="95" t="inlineStr">
        <is>
          <t>2XL</t>
        </is>
      </c>
      <c r="B9" s="97" t="n">
        <v>80</v>
      </c>
      <c r="C9" s="98" t="inlineStr">
        <is>
          <t>&lt;&lt; Needs further decomposition</t>
        </is>
      </c>
    </row>
    <row r="10" ht="9.75" customHeight="1" s="54"/>
    <row r="11" ht="19.5" customHeight="1" s="54">
      <c r="A11" s="70" t="inlineStr">
        <is>
          <t>Usage Notes:</t>
        </is>
      </c>
    </row>
    <row r="12" ht="30" customHeight="1" s="54">
      <c r="B12" s="99" t="inlineStr">
        <is>
          <t>Refer to the Complexity Guide before assigning sizes. XL and 2XL items should be broken down before sprint planning.</t>
        </is>
      </c>
    </row>
    <row r="13" ht="19.5" customHeight="1" s="54">
      <c r="B13" s="99" t="inlineStr">
        <is>
          <t>N.A. = task not applicable to this track for the given user story.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53" min="2" max="2"/>
    <col width="35" customWidth="1" style="53" min="3" max="5"/>
    <col width="35" customWidth="1" style="54" min="4" max="4"/>
    <col width="35" customWidth="1" style="54" min="5" max="5"/>
  </cols>
  <sheetData>
    <row r="1" ht="30" customHeight="1" s="54">
      <c r="A1" s="55" t="inlineStr">
        <is>
          <t>DESIGN COMPLEXITY GUIDE</t>
        </is>
      </c>
    </row>
    <row r="2" ht="9.75" customHeight="1" s="54"/>
    <row r="3" ht="19.5" customHeight="1" s="54">
      <c r="A3" s="100" t="n"/>
      <c r="B3" s="95" t="inlineStr">
        <is>
          <t>DIMENSION</t>
        </is>
      </c>
      <c r="C3" s="95" t="inlineStr">
        <is>
          <t>SMALL (XS–S)</t>
        </is>
      </c>
      <c r="D3" s="95" t="inlineStr">
        <is>
          <t>MEDIUM (M–L)</t>
        </is>
      </c>
      <c r="E3" s="95" t="inlineStr">
        <is>
          <t>LARGE (XL–2XL)</t>
        </is>
      </c>
    </row>
    <row r="4" ht="54.75" customHeight="1" s="54">
      <c r="A4" s="100" t="n"/>
      <c r="B4" s="101" t="inlineStr">
        <is>
          <t>Process Steps</t>
        </is>
      </c>
      <c r="C4" s="102" t="inlineStr">
        <is>
          <t>≤3 sequential actions</t>
        </is>
      </c>
      <c r="D4" s="102" t="inlineStr">
        <is>
          <t>4–9 process steps across the workflow</t>
        </is>
      </c>
      <c r="E4" s="102" t="inlineStr">
        <is>
          <t>9+ process steps</t>
        </is>
      </c>
    </row>
    <row r="5" ht="54.75" customHeight="1" s="54">
      <c r="A5" s="100" t="n"/>
      <c r="B5" s="103" t="inlineStr">
        <is>
          <t>Data Variations</t>
        </is>
      </c>
      <c r="C5" s="104" t="inlineStr">
        <is>
          <t>≤3 distinct states or sets</t>
        </is>
      </c>
      <c r="D5" s="104" t="inlineStr">
        <is>
          <t>4–8 distinct states or sets</t>
        </is>
      </c>
      <c r="E5" s="104" t="inlineStr">
        <is>
          <t>9+ distinct states or sets</t>
        </is>
      </c>
    </row>
    <row r="6" ht="54.75" customHeight="1" s="54">
      <c r="A6" s="100" t="n"/>
      <c r="B6" s="101" t="inlineStr">
        <is>
          <t>Logics</t>
        </is>
      </c>
      <c r="C6" s="102" t="inlineStr">
        <is>
          <t>No conditional branching or nested conditions</t>
        </is>
      </c>
      <c r="D6" s="102" t="inlineStr">
        <is>
          <t>Single level of conditional branching; excludes deeply nested or multi-layered conditions</t>
        </is>
      </c>
      <c r="E6" s="102" t="inlineStr">
        <is>
          <t>Multiple levels of conditional branching and nested conditions</t>
        </is>
      </c>
    </row>
    <row r="7" ht="54.75" customHeight="1" s="54">
      <c r="A7" s="100" t="n"/>
      <c r="B7" s="103" t="inlineStr">
        <is>
          <t>Visual Asset</t>
        </is>
      </c>
      <c r="C7" s="104" t="inlineStr">
        <is>
          <t>Basic graphics or stock imagery with minimal customisation</t>
        </is>
      </c>
      <c r="D7" s="104" t="inlineStr">
        <is>
          <t>Custom or adapted graphics up to 4 assets; individual asset sizes ≤500×500px</t>
        </is>
      </c>
      <c r="E7" s="104" t="inlineStr">
        <is>
          <t>Custom or adapted graphics — 5+ assets, or individual asset sizes &gt;500×500px</t>
        </is>
      </c>
    </row>
    <row r="8" ht="9.75" customHeight="1" s="54">
      <c r="A8" s="100" t="n"/>
      <c r="B8" s="100" t="n"/>
      <c r="C8" s="100" t="n"/>
      <c r="D8" s="100" t="n"/>
      <c r="E8" s="100" t="n"/>
    </row>
    <row r="9" ht="30" customHeight="1" s="54">
      <c r="A9" s="100" t="n"/>
      <c r="B9" s="105" t="inlineStr">
        <is>
          <t>If any single dimension reaches the threshold for a given size, that size applies — use the highest triggered threshold across all 4 criteria.</t>
        </is>
      </c>
    </row>
  </sheetData>
  <mergeCells count="2">
    <mergeCell ref="A1:E1"/>
    <mergeCell ref="B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53" min="2" max="2"/>
    <col width="35" customWidth="1" style="53" min="3" max="5"/>
  </cols>
  <sheetData>
    <row r="1" ht="30" customHeight="1" s="54">
      <c r="A1" s="55" t="inlineStr">
        <is>
          <t>FE COMPLEXITY GUIDE</t>
        </is>
      </c>
    </row>
    <row r="2" ht="9.75" customHeight="1" s="54"/>
    <row r="3" ht="19.5" customHeight="1" s="54">
      <c r="B3" s="95" t="inlineStr">
        <is>
          <t>DIMENSION</t>
        </is>
      </c>
      <c r="C3" s="95" t="inlineStr">
        <is>
          <t>SMALL (XS–S)</t>
        </is>
      </c>
      <c r="D3" s="95" t="inlineStr">
        <is>
          <t>MEDIUM (M–L)</t>
        </is>
      </c>
      <c r="E3" s="95" t="inlineStr">
        <is>
          <t>LARGE (XL–2XL)</t>
        </is>
      </c>
    </row>
    <row r="4" ht="30" customHeight="1" s="54">
      <c r="B4" s="101" t="inlineStr">
        <is>
          <t>UI fields / components</t>
        </is>
      </c>
      <c r="C4" s="102" t="inlineStr">
        <is>
          <t>≤5 fields, minimal scrolling</t>
        </is>
      </c>
      <c r="D4" s="102" t="inlineStr">
        <is>
          <t>≤12 fields, 50% need validation</t>
        </is>
      </c>
      <c r="E4" s="102" t="inlineStr">
        <is>
          <t>&gt;12 fields, heavy scrolling</t>
        </is>
      </c>
    </row>
    <row r="5" ht="30" customHeight="1" s="54">
      <c r="B5" s="103" t="inlineStr">
        <is>
          <t>UI events</t>
        </is>
      </c>
      <c r="C5" s="104" t="inlineStr">
        <is>
          <t>≤2 UI events</t>
        </is>
      </c>
      <c r="D5" s="104" t="inlineStr">
        <is>
          <t>≤5 UI events</t>
        </is>
      </c>
      <c r="E5" s="104" t="inlineStr">
        <is>
          <t>&gt;5 UI events</t>
        </is>
      </c>
    </row>
    <row r="6" ht="30" customHeight="1" s="54">
      <c r="B6" s="101" t="inlineStr">
        <is>
          <t>Content</t>
        </is>
      </c>
      <c r="C6" s="102" t="inlineStr">
        <is>
          <t>Static content</t>
        </is>
      </c>
      <c r="D6" s="102" t="inlineStr">
        <is>
          <t>Mostly static; images, rich text</t>
        </is>
      </c>
      <c r="E6" s="102" t="inlineStr">
        <is>
          <t>Dynamic content; images/videos/feeds</t>
        </is>
      </c>
    </row>
    <row r="7" ht="30" customHeight="1" s="54">
      <c r="B7" s="103" t="inlineStr">
        <is>
          <t>Data transformation</t>
        </is>
      </c>
      <c r="C7" s="104" t="inlineStr">
        <is>
          <t>None</t>
        </is>
      </c>
      <c r="D7" s="104" t="inlineStr">
        <is>
          <t>Minimal transformations</t>
        </is>
      </c>
      <c r="E7" s="104" t="inlineStr">
        <is>
          <t>Heavy data/content transformations</t>
        </is>
      </c>
    </row>
    <row r="8" ht="30" customHeight="1" s="54">
      <c r="B8" s="101" t="inlineStr">
        <is>
          <t>Transactions</t>
        </is>
      </c>
      <c r="C8" s="102" t="inlineStr">
        <is>
          <t>None</t>
        </is>
      </c>
      <c r="D8" s="102" t="inlineStr">
        <is>
          <t>None</t>
        </is>
      </c>
      <c r="E8" s="102" t="inlineStr">
        <is>
          <t>Page involves transactions</t>
        </is>
      </c>
    </row>
    <row r="9" ht="30" customHeight="1" s="54">
      <c r="B9" s="103" t="inlineStr">
        <is>
          <t>Integration points</t>
        </is>
      </c>
      <c r="C9" s="104" t="inlineStr">
        <is>
          <t>None</t>
        </is>
      </c>
      <c r="D9" s="104" t="inlineStr">
        <is>
          <t>&lt;3 integration points</t>
        </is>
      </c>
      <c r="E9" s="104" t="inlineStr">
        <is>
          <t>≥3 integration points</t>
        </is>
      </c>
    </row>
    <row r="10" ht="30" customHeight="1" s="54">
      <c r="B10" s="101" t="inlineStr">
        <is>
          <t>Security</t>
        </is>
      </c>
      <c r="C10" s="102" t="inlineStr">
        <is>
          <t>No security requirements</t>
        </is>
      </c>
      <c r="D10" s="102" t="inlineStr">
        <is>
          <t>No security requirements</t>
        </is>
      </c>
      <c r="E10" s="102" t="inlineStr">
        <is>
          <t>Security requirement applies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53" min="2" max="2"/>
    <col width="35" customWidth="1" style="53" min="3" max="5"/>
  </cols>
  <sheetData>
    <row r="1" ht="30" customHeight="1" s="54">
      <c r="A1" s="55" t="inlineStr">
        <is>
          <t>BE COMPLEXITY GUIDE</t>
        </is>
      </c>
    </row>
    <row r="2" ht="9.75" customHeight="1" s="54"/>
    <row r="3" ht="19.5" customHeight="1" s="54">
      <c r="B3" s="95" t="inlineStr">
        <is>
          <t>DIMENSION</t>
        </is>
      </c>
      <c r="C3" s="95" t="inlineStr">
        <is>
          <t>SMALL (XS–S)</t>
        </is>
      </c>
      <c r="D3" s="95" t="inlineStr">
        <is>
          <t>MEDIUM (M–L)</t>
        </is>
      </c>
      <c r="E3" s="95" t="inlineStr">
        <is>
          <t>LARGE (XL–2XL)</t>
        </is>
      </c>
    </row>
    <row r="4" ht="30" customHeight="1" s="54">
      <c r="B4" s="101" t="inlineStr">
        <is>
          <t>DB / service integrations</t>
        </is>
      </c>
      <c r="C4" s="102" t="inlineStr">
        <is>
          <t>None</t>
        </is>
      </c>
      <c r="D4" s="102" t="inlineStr">
        <is>
          <t>≤3 integrations</t>
        </is>
      </c>
      <c r="E4" s="102" t="inlineStr">
        <is>
          <t>&gt;3 integrations</t>
        </is>
      </c>
    </row>
    <row r="5" ht="30" customHeight="1" s="54">
      <c r="B5" s="103" t="inlineStr">
        <is>
          <t>Routing</t>
        </is>
      </c>
      <c r="C5" s="104" t="inlineStr">
        <is>
          <t>Simple</t>
        </is>
      </c>
      <c r="D5" s="104" t="inlineStr">
        <is>
          <t>Simple</t>
        </is>
      </c>
      <c r="E5" s="104" t="inlineStr">
        <is>
          <t>Complex content-based routing</t>
        </is>
      </c>
    </row>
    <row r="6" ht="30" customHeight="1" s="54">
      <c r="B6" s="101" t="inlineStr">
        <is>
          <t>Validation</t>
        </is>
      </c>
      <c r="C6" s="102" t="inlineStr">
        <is>
          <t>Message structure level</t>
        </is>
      </c>
      <c r="D6" s="102" t="inlineStr">
        <is>
          <t>Message structure level</t>
        </is>
      </c>
      <c r="E6" s="102" t="inlineStr">
        <is>
          <t>Field-level validation</t>
        </is>
      </c>
    </row>
    <row r="7" ht="30" customHeight="1" s="54">
      <c r="B7" s="103" t="inlineStr">
        <is>
          <t>Aggregation</t>
        </is>
      </c>
      <c r="C7" s="104" t="inlineStr">
        <is>
          <t>No</t>
        </is>
      </c>
      <c r="D7" s="104" t="inlineStr">
        <is>
          <t>No</t>
        </is>
      </c>
      <c r="E7" s="104" t="inlineStr">
        <is>
          <t>Yes</t>
        </is>
      </c>
    </row>
    <row r="8" ht="30" customHeight="1" s="54">
      <c r="B8" s="101" t="inlineStr">
        <is>
          <t>Transformation</t>
        </is>
      </c>
      <c r="C8" s="102" t="inlineStr">
        <is>
          <t>Straight mapping</t>
        </is>
      </c>
      <c r="D8" s="102" t="inlineStr">
        <is>
          <t>Mapping and translation</t>
        </is>
      </c>
      <c r="E8" s="102" t="inlineStr">
        <is>
          <t>Complex mapping, conditional, cross-parser</t>
        </is>
      </c>
    </row>
    <row r="9" ht="30" customHeight="1" s="54">
      <c r="B9" s="103" t="inlineStr">
        <is>
          <t>Processing logic</t>
        </is>
      </c>
      <c r="C9" s="104" t="inlineStr">
        <is>
          <t>Simple pass-through</t>
        </is>
      </c>
      <c r="D9" s="104" t="inlineStr">
        <is>
          <t>Simple multi-level, some control logic</t>
        </is>
      </c>
      <c r="E9" s="104" t="inlineStr">
        <is>
          <t>Complex control logic, multiple business rules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53" min="2" max="2"/>
    <col width="35" customWidth="1" style="53" min="3" max="5"/>
  </cols>
  <sheetData>
    <row r="1" ht="30" customHeight="1" s="54">
      <c r="A1" s="55" t="inlineStr">
        <is>
          <t>AI COMPLEXITY GUIDE</t>
        </is>
      </c>
    </row>
    <row r="2" ht="9.75" customHeight="1" s="54"/>
    <row r="3" ht="19.5" customHeight="1" s="54">
      <c r="B3" s="95" t="inlineStr">
        <is>
          <t>DIMENSION</t>
        </is>
      </c>
      <c r="C3" s="95" t="inlineStr">
        <is>
          <t>SMALL (XS–S)</t>
        </is>
      </c>
      <c r="D3" s="95" t="inlineStr">
        <is>
          <t>MEDIUM (M–L)</t>
        </is>
      </c>
      <c r="E3" s="95" t="inlineStr">
        <is>
          <t>LARGE (XL–2XL)</t>
        </is>
      </c>
    </row>
    <row r="4" ht="30" customHeight="1" s="54">
      <c r="B4" s="101" t="inlineStr">
        <is>
          <t>Data volume</t>
        </is>
      </c>
      <c r="C4" s="102" t="inlineStr">
        <is>
          <t>Single table, &lt;10K rows, batch ingest</t>
        </is>
      </c>
      <c r="D4" s="102" t="inlineStr">
        <is>
          <t>Multiple tables or streams, up to 1M rows</t>
        </is>
      </c>
      <c r="E4" s="102" t="inlineStr">
        <is>
          <t>Real-time streams, 1M+ rows, multi-source joins</t>
        </is>
      </c>
    </row>
    <row r="5" ht="30" customHeight="1" s="54">
      <c r="B5" s="103" t="inlineStr">
        <is>
          <t>Model complexity</t>
        </is>
      </c>
      <c r="C5" s="104" t="inlineStr">
        <is>
          <t>Rule-based logic or single pre-trained model</t>
        </is>
      </c>
      <c r="D5" s="104" t="inlineStr">
        <is>
          <t>Fine-tuned model or ensemble, defined features</t>
        </is>
      </c>
      <c r="E5" s="104" t="inlineStr">
        <is>
          <t>Custom model training, RAG pipeline, or multi-agent</t>
        </is>
      </c>
    </row>
    <row r="6" ht="30" customHeight="1" s="54">
      <c r="B6" s="101" t="inlineStr">
        <is>
          <t>Evaluation / iteration</t>
        </is>
      </c>
      <c r="C6" s="102" t="inlineStr">
        <is>
          <t>Single benchmark, no retraining</t>
        </is>
      </c>
      <c r="D6" s="102" t="inlineStr">
        <is>
          <t>2–3 evaluation cycles, hyperparameter tuning</t>
        </is>
      </c>
      <c r="E6" s="102" t="inlineStr">
        <is>
          <t>Continuous retraining loop or A/B testing</t>
        </is>
      </c>
    </row>
    <row r="7" ht="30" customHeight="1" s="54">
      <c r="B7" s="103" t="inlineStr">
        <is>
          <t>Infrastructure</t>
        </is>
      </c>
      <c r="C7" s="104" t="inlineStr">
        <is>
          <t>Existing compute, no MLOps setup needed</t>
        </is>
      </c>
      <c r="D7" s="104" t="inlineStr">
        <is>
          <t>Requires pipeline orchestration (e.g. Airflow)</t>
        </is>
      </c>
      <c r="E7" s="104" t="inlineStr">
        <is>
          <t>Full MLOps: model registry, monitoring, drift detection</t>
        </is>
      </c>
    </row>
    <row r="8" ht="30" customHeight="1" s="54">
      <c r="B8" s="101" t="inlineStr">
        <is>
          <t>Data quality work</t>
        </is>
      </c>
      <c r="C8" s="102" t="inlineStr">
        <is>
          <t>Clean, structured input</t>
        </is>
      </c>
      <c r="D8" s="102" t="inlineStr">
        <is>
          <t>Moderate cleaning, schema mapping</t>
        </is>
      </c>
      <c r="E8" s="102" t="inlineStr">
        <is>
          <t>Heavy normalisation, deduplication, or label work</t>
        </is>
      </c>
    </row>
    <row r="9" ht="30" customHeight="1" s="54">
      <c r="B9" s="103" t="inlineStr">
        <is>
          <t>Integration points</t>
        </is>
      </c>
      <c r="C9" s="104" t="inlineStr">
        <is>
          <t>Standalone script or notebook</t>
        </is>
      </c>
      <c r="D9" s="104" t="inlineStr">
        <is>
          <t>REST API or database integration</t>
        </is>
      </c>
      <c r="E9" s="104" t="inlineStr">
        <is>
          <t>Multi-system integration, real-time serving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en-SG</dc:language>
  <dcterms:created xsi:type="dcterms:W3CDTF">2026-03-26T11:59:01Z</dcterms:created>
  <dcterms:modified xsi:type="dcterms:W3CDTF">2026-03-26T12:09:35Z</dcterms:modified>
  <cp:revision>0</cp:revision>
</cp:coreProperties>
</file>